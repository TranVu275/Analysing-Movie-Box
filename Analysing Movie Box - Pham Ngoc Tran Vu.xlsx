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Tran\UNT\3. Summer 2026\BUSI 3100 - Professional Development II\Project\"/>
    </mc:Choice>
  </mc:AlternateContent>
  <xr:revisionPtr revIDLastSave="0" documentId="13_ncr:1_{54A9A22E-6106-43DE-9501-FFADD8DA6BC5}" xr6:coauthVersionLast="47" xr6:coauthVersionMax="47" xr10:uidLastSave="{00000000-0000-0000-0000-000000000000}"/>
  <bookViews>
    <workbookView xWindow="-108" yWindow="-108" windowWidth="23256" windowHeight="12456" activeTab="5" xr2:uid="{CD65E054-3D1E-4643-9D79-51CBA29DE372}"/>
  </bookViews>
  <sheets>
    <sheet name="Data" sheetId="1" r:id="rId1"/>
    <sheet name="ROI_Genre" sheetId="4" r:id="rId2"/>
    <sheet name="Dom_Int" sheetId="6" r:id="rId3"/>
    <sheet name="Percentage Dom" sheetId="11" r:id="rId4"/>
    <sheet name="Budget_Revenue" sheetId="10" r:id="rId5"/>
    <sheet name="AVG ProfitMargin_Genre" sheetId="13" r:id="rId6"/>
  </sheets>
  <definedNames>
    <definedName name="_xlnm._FilterDatabase" localSheetId="0" hidden="1">Data!$A$1:$O$31</definedName>
    <definedName name="_xlchart.v2.0" hidden="1">'AVG ProfitMargin_Genre'!$A$3:$A$9</definedName>
    <definedName name="_xlchart.v2.1" hidden="1">'AVG ProfitMargin_Genre'!$B$2</definedName>
    <definedName name="_xlchart.v2.2" hidden="1">'AVG ProfitMargin_Genre'!$B$3:$B$9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1" l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2" i="11"/>
  <c r="G26" i="1"/>
  <c r="E21" i="1"/>
  <c r="K21" i="1" s="1"/>
  <c r="E20" i="1"/>
  <c r="N20" i="1" s="1"/>
  <c r="E18" i="1"/>
  <c r="I18" i="1" s="1"/>
  <c r="J18" i="1" s="1"/>
  <c r="E13" i="1"/>
  <c r="I13" i="1" s="1"/>
  <c r="J13" i="1" s="1"/>
  <c r="E9" i="1"/>
  <c r="K9" i="1" s="1"/>
  <c r="E8" i="1"/>
  <c r="K8" i="1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E6" i="1"/>
  <c r="I6" i="1" s="1"/>
  <c r="J6" i="1" s="1"/>
  <c r="E7" i="1"/>
  <c r="K7" i="1" s="1"/>
  <c r="E10" i="1"/>
  <c r="K10" i="1" s="1"/>
  <c r="E11" i="1"/>
  <c r="N11" i="1" s="1"/>
  <c r="E12" i="1"/>
  <c r="N12" i="1" s="1"/>
  <c r="E14" i="1"/>
  <c r="I14" i="1" s="1"/>
  <c r="J14" i="1" s="1"/>
  <c r="E15" i="1"/>
  <c r="N15" i="1" s="1"/>
  <c r="E16" i="1"/>
  <c r="N16" i="1" s="1"/>
  <c r="E17" i="1"/>
  <c r="N17" i="1" s="1"/>
  <c r="E19" i="1"/>
  <c r="K19" i="1" s="1"/>
  <c r="E22" i="1"/>
  <c r="N22" i="1" s="1"/>
  <c r="E23" i="1"/>
  <c r="I23" i="1" s="1"/>
  <c r="J23" i="1" s="1"/>
  <c r="E24" i="1"/>
  <c r="N24" i="1" s="1"/>
  <c r="E25" i="1"/>
  <c r="I25" i="1" s="1"/>
  <c r="J25" i="1" s="1"/>
  <c r="E26" i="1"/>
  <c r="N26" i="1" s="1"/>
  <c r="E27" i="1"/>
  <c r="N27" i="1" s="1"/>
  <c r="E28" i="1"/>
  <c r="I28" i="1" s="1"/>
  <c r="J28" i="1" s="1"/>
  <c r="E29" i="1"/>
  <c r="I29" i="1" s="1"/>
  <c r="J29" i="1" s="1"/>
  <c r="E30" i="1"/>
  <c r="K30" i="1" s="1"/>
  <c r="E31" i="1"/>
  <c r="N31" i="1" s="1"/>
  <c r="E5" i="1"/>
  <c r="I5" i="1" s="1"/>
  <c r="J5" i="1" s="1"/>
  <c r="G5" i="1"/>
  <c r="E4" i="1"/>
  <c r="K4" i="1" s="1"/>
  <c r="G4" i="1"/>
  <c r="G3" i="1"/>
  <c r="E3" i="1"/>
  <c r="I3" i="1" s="1"/>
  <c r="J3" i="1" s="1"/>
  <c r="G2" i="1"/>
  <c r="E2" i="1"/>
  <c r="K2" i="1" s="1"/>
  <c r="I4" i="1" l="1"/>
  <c r="J4" i="1" s="1"/>
  <c r="K31" i="1"/>
  <c r="N5" i="1"/>
  <c r="I31" i="1"/>
  <c r="J31" i="1" s="1"/>
  <c r="K5" i="1"/>
  <c r="N3" i="1"/>
  <c r="N4" i="1"/>
  <c r="I2" i="1"/>
  <c r="K3" i="1"/>
  <c r="N2" i="1"/>
  <c r="N30" i="1"/>
  <c r="I30" i="1"/>
  <c r="J30" i="1" s="1"/>
  <c r="N29" i="1"/>
  <c r="K29" i="1"/>
  <c r="N28" i="1"/>
  <c r="K27" i="1"/>
  <c r="I27" i="1"/>
  <c r="J27" i="1" s="1"/>
  <c r="K26" i="1"/>
  <c r="I26" i="1"/>
  <c r="J26" i="1" s="1"/>
  <c r="N25" i="1"/>
  <c r="K25" i="1"/>
  <c r="I24" i="1"/>
  <c r="J24" i="1" s="1"/>
  <c r="K24" i="1"/>
  <c r="K23" i="1"/>
  <c r="N23" i="1"/>
  <c r="I22" i="1"/>
  <c r="J22" i="1" s="1"/>
  <c r="K22" i="1"/>
  <c r="I19" i="1"/>
  <c r="J19" i="1" s="1"/>
  <c r="N18" i="1"/>
  <c r="K18" i="1"/>
  <c r="I15" i="1"/>
  <c r="J15" i="1" s="1"/>
  <c r="K15" i="1"/>
  <c r="N14" i="1"/>
  <c r="K14" i="1"/>
  <c r="K13" i="1"/>
  <c r="N13" i="1"/>
  <c r="K11" i="1"/>
  <c r="I11" i="1"/>
  <c r="J11" i="1" s="1"/>
  <c r="N10" i="1"/>
  <c r="I10" i="1"/>
  <c r="J10" i="1" s="1"/>
  <c r="I9" i="1"/>
  <c r="J9" i="1" s="1"/>
  <c r="N9" i="1"/>
  <c r="I8" i="1"/>
  <c r="J8" i="1" s="1"/>
  <c r="N8" i="1"/>
  <c r="I7" i="1"/>
  <c r="J7" i="1" s="1"/>
  <c r="N7" i="1"/>
  <c r="N6" i="1"/>
  <c r="K6" i="1"/>
  <c r="I17" i="1"/>
  <c r="J17" i="1" s="1"/>
  <c r="K28" i="1"/>
  <c r="K20" i="1"/>
  <c r="K16" i="1"/>
  <c r="K12" i="1"/>
  <c r="N21" i="1"/>
  <c r="K17" i="1"/>
  <c r="I21" i="1"/>
  <c r="J21" i="1" s="1"/>
  <c r="I20" i="1"/>
  <c r="J20" i="1" s="1"/>
  <c r="I16" i="1"/>
  <c r="J16" i="1" s="1"/>
  <c r="I12" i="1"/>
  <c r="J12" i="1" s="1"/>
  <c r="N19" i="1"/>
  <c r="L2" i="1" l="1"/>
  <c r="J2" i="1"/>
  <c r="M2" i="1" s="1"/>
</calcChain>
</file>

<file path=xl/sharedStrings.xml><?xml version="1.0" encoding="utf-8"?>
<sst xmlns="http://schemas.openxmlformats.org/spreadsheetml/2006/main" count="174" uniqueCount="94">
  <si>
    <t>Movie</t>
  </si>
  <si>
    <t>Production Budget</t>
  </si>
  <si>
    <t>Domestic Revenue</t>
  </si>
  <si>
    <t>Int'l Revenue</t>
  </si>
  <si>
    <t>Profitability</t>
  </si>
  <si>
    <t>Release Date</t>
  </si>
  <si>
    <t>Release Season</t>
  </si>
  <si>
    <t>Genre</t>
  </si>
  <si>
    <t>Thriller/Suspense</t>
  </si>
  <si>
    <t>Domestic as % of Total</t>
  </si>
  <si>
    <t>Adventure</t>
  </si>
  <si>
    <t>ROI</t>
  </si>
  <si>
    <t>Profit Margin</t>
  </si>
  <si>
    <t>AVG Profit Margin</t>
  </si>
  <si>
    <t>AVG Profit</t>
  </si>
  <si>
    <t>Total Revenue</t>
  </si>
  <si>
    <t>Action</t>
  </si>
  <si>
    <t>https://www.the-numbers.com/movie/Rush-Hour-2</t>
  </si>
  <si>
    <t>https://www.the-numbers.com/movie/Mission-Impossible-Fallout</t>
  </si>
  <si>
    <t>No Time to Die</t>
  </si>
  <si>
    <t xml:space="preserve">Mission: Impossible—Fallout </t>
  </si>
  <si>
    <t xml:space="preserve">Rush Hour 2 </t>
  </si>
  <si>
    <t>https://www.the-numbers.com/movie/No-Time-to-Die-(2021)</t>
  </si>
  <si>
    <t>White House Down</t>
  </si>
  <si>
    <t>Olympus Has Fallen</t>
  </si>
  <si>
    <t>Harry Potter and the Order of the Phoenix</t>
  </si>
  <si>
    <t>https://www.the-numbers.com/movie/Harry-Potter-and-the-Order-of-the-Phoenix</t>
  </si>
  <si>
    <t>https://www.the-numbers.com/movie/White-House-Down</t>
  </si>
  <si>
    <t>https://www.the-numbers.com/movie/Olympus-Has-Fallen</t>
  </si>
  <si>
    <t>Percy Jackson: Sea of Monsters</t>
  </si>
  <si>
    <t>https://www.the-numbers.com/movie/Percy-Jackson-Sea-of-Monsters</t>
  </si>
  <si>
    <t>How to Train Your Dragon</t>
  </si>
  <si>
    <t>https://www.the-numbers.com/movie/How-to-Train-Your-Dragon</t>
  </si>
  <si>
    <t>Avengers: Endgame</t>
  </si>
  <si>
    <t>https://www.the-numbers.com/movie/Avengers-Endgame-(2019)</t>
  </si>
  <si>
    <t>Parasite</t>
  </si>
  <si>
    <t>https://www.the-numbers.com/movie/Parasite-(2019-South-Korea)</t>
  </si>
  <si>
    <t>The Karate Kid</t>
  </si>
  <si>
    <t>https://www.the-numbers.com/movie/Karate-Kid-The-(2010)</t>
  </si>
  <si>
    <t>Home Alone</t>
  </si>
  <si>
    <t>Comedy</t>
  </si>
  <si>
    <t>https://www.the-numbers.com/movie/Home-Alone</t>
  </si>
  <si>
    <t>The Godfather</t>
  </si>
  <si>
    <t>Drama</t>
  </si>
  <si>
    <t>https://www.the-numbers.com/movie/Godfather-The-(1972)</t>
  </si>
  <si>
    <t>Jumanji: Welcome to the Jungle</t>
  </si>
  <si>
    <t>https://www.the-numbers.com/movie/Jumanji-Welcome-to-the-Jungle</t>
  </si>
  <si>
    <t>Now You See Me</t>
  </si>
  <si>
    <t>https://www.the-numbers.com/movie/Now-You-See-Me</t>
  </si>
  <si>
    <t>Forrest Gump</t>
  </si>
  <si>
    <t>https://www.the-numbers.com/movie/Forrest-Gump-(1994)</t>
  </si>
  <si>
    <t>Spotlight </t>
  </si>
  <si>
    <t>https://www.the-numbers.com/movie/Spotlight</t>
  </si>
  <si>
    <t>Good Will Hunting</t>
  </si>
  <si>
    <t>https://www.the-numbers.com/movie/Good-Will-Hunting</t>
  </si>
  <si>
    <t>Pearl Harbor</t>
  </si>
  <si>
    <t>https://www.the-numbers.com/movie/Pearl-Harbor</t>
  </si>
  <si>
    <t>Titanic </t>
  </si>
  <si>
    <t>https://www.the-numbers.com/movie/Titanic-(1997)</t>
  </si>
  <si>
    <t>The Interpreter</t>
  </si>
  <si>
    <t>https://www.the-numbers.com/movie/Interpreter-The-(2005)</t>
  </si>
  <si>
    <t>Happy Feet</t>
  </si>
  <si>
    <t>Musical</t>
  </si>
  <si>
    <t>https://www.the-numbers.com/movie/Happy-Feet</t>
  </si>
  <si>
    <t>Anyone But You</t>
  </si>
  <si>
    <t>https://www.the-numbers.com/movie/Anyone-But-You-(2023)</t>
  </si>
  <si>
    <t>300 </t>
  </si>
  <si>
    <t>https://www.the-numbers.com/movie/300-(2007)</t>
  </si>
  <si>
    <t>Avatar</t>
  </si>
  <si>
    <t>https://www.the-numbers.com/movie/Avatar-(2009)</t>
  </si>
  <si>
    <t>The Conjuring</t>
  </si>
  <si>
    <t>Horror</t>
  </si>
  <si>
    <t>The Boy</t>
  </si>
  <si>
    <t>Insidious</t>
  </si>
  <si>
    <t xml:space="preserve">The Nun </t>
  </si>
  <si>
    <t>Jackass </t>
  </si>
  <si>
    <t>https://www.the-numbers.com/movie/Jackass-3D</t>
  </si>
  <si>
    <t>https://www.the-numbers.com/movie/Nun-The</t>
  </si>
  <si>
    <t>https://www.the-numbers.com/movie/Insidious-(2010)</t>
  </si>
  <si>
    <t>https://www.the-numbers.com/movie/Boy-The-(2016)</t>
  </si>
  <si>
    <t>https://www.the-numbers.com/movie/Conjuring-The</t>
  </si>
  <si>
    <t>Average of ROI</t>
  </si>
  <si>
    <t>Grand Total</t>
  </si>
  <si>
    <t>Sum of Domestic Revenue</t>
  </si>
  <si>
    <t>Sum of Int'l Revenue</t>
  </si>
  <si>
    <t>Percentage Domestic Revenue</t>
  </si>
  <si>
    <t>Average of Profit Margin</t>
  </si>
  <si>
    <t>Link</t>
  </si>
  <si>
    <t xml:space="preserve"> </t>
  </si>
  <si>
    <t>Most movies earned significantly more revenue from international markets than domestic markets.</t>
  </si>
  <si>
    <t>Horror and Drama movies generated the highest ROI, while Thriller/Suspense produced the lowest average return.</t>
  </si>
  <si>
    <t>Horror and Comedy achieved the highest average profit margins, suggesting that these genres often produce strong financial returns despite relatively moderate production costs.</t>
  </si>
  <si>
    <t xml:space="preserve">Domestic revenue represented between around 20% and 60% of total box office revenue for most movies. </t>
  </si>
  <si>
    <t>Most movies with larger production budgets generally earned higher revenues, however several high-budget films underperformed.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</si>
</sst>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sz val="1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</cellStyleXfs>
  <cellXfs count="2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9" fontId="0" fillId="0" borderId="0" xfId="2" applyFont="1"/>
    <xf numFmtId="0" fontId="2" fillId="0" borderId="0" xfId="0" applyFont="1"/>
    <xf numFmtId="164" fontId="2" fillId="0" borderId="0" xfId="1" applyNumberFormat="1" applyFont="1"/>
    <xf numFmtId="164" fontId="0" fillId="2" borderId="0" xfId="0" applyNumberFormat="1" applyFill="1"/>
    <xf numFmtId="164" fontId="0" fillId="2" borderId="0" xfId="2" applyNumberFormat="1" applyFont="1" applyFill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3" xfId="2" applyFont="1" applyBorder="1"/>
    <xf numFmtId="9" fontId="0" fillId="0" borderId="7" xfId="2" applyFont="1" applyBorder="1"/>
    <xf numFmtId="43" fontId="0" fillId="0" borderId="0" xfId="1" applyFont="1"/>
    <xf numFmtId="0" fontId="3" fillId="0" borderId="1" xfId="3"/>
    <xf numFmtId="43" fontId="3" fillId="0" borderId="1" xfId="3" applyNumberFormat="1"/>
    <xf numFmtId="0" fontId="0" fillId="0" borderId="0" xfId="0" applyAlignment="1">
      <alignment horizontal="center" vertical="center"/>
    </xf>
    <xf numFmtId="10" fontId="0" fillId="0" borderId="0" xfId="2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0" fillId="0" borderId="0" xfId="2" applyNumberFormat="1" applyFont="1"/>
    <xf numFmtId="164" fontId="2" fillId="0" borderId="0" xfId="1" applyNumberFormat="1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</cellXfs>
  <cellStyles count="4">
    <cellStyle name="Comma" xfId="1" builtinId="3"/>
    <cellStyle name="Normal" xfId="0" builtinId="0"/>
    <cellStyle name="Percent" xfId="2" builtinId="5"/>
    <cellStyle name="Total" xfId="3" builtinId="25"/>
  </cellStyles>
  <dxfs count="25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4" formatCode="0.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64" formatCode="_(* #,##0_);_(* \(#,##0\);_(* &quot;-&quot;??_);_(@_)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64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2"/>
        <scheme val="none"/>
      </font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Return on Investment </a:t>
            </a:r>
            <a:r>
              <a:rPr lang="en-US" sz="1600" b="1"/>
              <a:t>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ROI_Genre!$B$1</c:f>
              <c:strCache>
                <c:ptCount val="1"/>
                <c:pt idx="0">
                  <c:v>Average of ROI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ROI_Genre!$A$2:$A$8</c:f>
              <c:strCache>
                <c:ptCount val="7"/>
                <c:pt idx="0">
                  <c:v>Action</c:v>
                </c:pt>
                <c:pt idx="1">
                  <c:v>Adventure</c:v>
                </c:pt>
                <c:pt idx="2">
                  <c:v>Comedy</c:v>
                </c:pt>
                <c:pt idx="3">
                  <c:v>Drama</c:v>
                </c:pt>
                <c:pt idx="4">
                  <c:v>Horror</c:v>
                </c:pt>
                <c:pt idx="5">
                  <c:v>Musical</c:v>
                </c:pt>
                <c:pt idx="6">
                  <c:v>Thriller/Suspense</c:v>
                </c:pt>
              </c:strCache>
            </c:strRef>
          </c:cat>
          <c:val>
            <c:numRef>
              <c:f>ROI_Genre!$B$2:$B$8</c:f>
              <c:numCache>
                <c:formatCode>0%</c:formatCode>
                <c:ptCount val="7"/>
                <c:pt idx="0">
                  <c:v>5.2215427380603341</c:v>
                </c:pt>
                <c:pt idx="1">
                  <c:v>4.5405113616161614</c:v>
                </c:pt>
                <c:pt idx="2">
                  <c:v>16.660775259449153</c:v>
                </c:pt>
                <c:pt idx="3">
                  <c:v>16.847217688337665</c:v>
                </c:pt>
                <c:pt idx="4">
                  <c:v>25.604838522348484</c:v>
                </c:pt>
                <c:pt idx="5">
                  <c:v>3.5294154705882352</c:v>
                </c:pt>
                <c:pt idx="6">
                  <c:v>1.5543336116666666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18-4839-8426-FCC34B3E93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01575359"/>
        <c:axId val="701575839"/>
      </c:barChart>
      <c:catAx>
        <c:axId val="701575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7030A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75839"/>
        <c:crosses val="autoZero"/>
        <c:auto val="1"/>
        <c:lblAlgn val="ctr"/>
        <c:lblOffset val="100"/>
        <c:noMultiLvlLbl val="0"/>
      </c:catAx>
      <c:valAx>
        <c:axId val="701575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57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9050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International vs. Domestic Markets Revenue by Genre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Dom_Int!$B$1</c:f>
              <c:strCache>
                <c:ptCount val="1"/>
                <c:pt idx="0">
                  <c:v>Sum of Domestic Revenue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Dom_Int!$A$2:$A$8</c:f>
              <c:strCache>
                <c:ptCount val="7"/>
                <c:pt idx="0">
                  <c:v>Action</c:v>
                </c:pt>
                <c:pt idx="1">
                  <c:v>Adventure</c:v>
                </c:pt>
                <c:pt idx="2">
                  <c:v>Comedy</c:v>
                </c:pt>
                <c:pt idx="3">
                  <c:v>Drama</c:v>
                </c:pt>
                <c:pt idx="4">
                  <c:v>Horror</c:v>
                </c:pt>
                <c:pt idx="5">
                  <c:v>Musical</c:v>
                </c:pt>
                <c:pt idx="6">
                  <c:v>Thriller/Suspense</c:v>
                </c:pt>
              </c:strCache>
            </c:strRef>
          </c:cat>
          <c:val>
            <c:numRef>
              <c:f>Dom_Int!$B$2:$B$8</c:f>
              <c:numCache>
                <c:formatCode>_(* #,##0.00_);_(* \(#,##0.00\);_(* "-"??_);_(@_)</c:formatCode>
                <c:ptCount val="7"/>
                <c:pt idx="0">
                  <c:v>2836555458</c:v>
                </c:pt>
                <c:pt idx="1">
                  <c:v>984028955</c:v>
                </c:pt>
                <c:pt idx="2">
                  <c:v>545178500</c:v>
                </c:pt>
                <c:pt idx="3">
                  <c:v>1324580356</c:v>
                </c:pt>
                <c:pt idx="4">
                  <c:v>344678966</c:v>
                </c:pt>
                <c:pt idx="5">
                  <c:v>198000317</c:v>
                </c:pt>
                <c:pt idx="6">
                  <c:v>362463526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CE-406C-9410-48B254C94CA8}"/>
            </c:ext>
          </c:extLst>
        </c:ser>
        <c:ser>
          <c:idx val="1"/>
          <c:order val="1"/>
          <c:tx>
            <c:strRef>
              <c:f>Dom_Int!$C$1</c:f>
              <c:strCache>
                <c:ptCount val="1"/>
                <c:pt idx="0">
                  <c:v>Sum of Int'l Revenue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Dom_Int!$A$2:$A$8</c:f>
              <c:strCache>
                <c:ptCount val="7"/>
                <c:pt idx="0">
                  <c:v>Action</c:v>
                </c:pt>
                <c:pt idx="1">
                  <c:v>Adventure</c:v>
                </c:pt>
                <c:pt idx="2">
                  <c:v>Comedy</c:v>
                </c:pt>
                <c:pt idx="3">
                  <c:v>Drama</c:v>
                </c:pt>
                <c:pt idx="4">
                  <c:v>Horror</c:v>
                </c:pt>
                <c:pt idx="5">
                  <c:v>Musical</c:v>
                </c:pt>
                <c:pt idx="6">
                  <c:v>Thriller/Suspense</c:v>
                </c:pt>
              </c:strCache>
            </c:strRef>
          </c:cat>
          <c:val>
            <c:numRef>
              <c:f>Dom_Int!$C$2:$C$8</c:f>
              <c:numCache>
                <c:formatCode>_(* #,##0.00_);_(* \(#,##0.00\);_(* "-"??_);_(@_)</c:formatCode>
                <c:ptCount val="7"/>
                <c:pt idx="0">
                  <c:v>5952456439</c:v>
                </c:pt>
                <c:pt idx="1">
                  <c:v>1610220486</c:v>
                </c:pt>
                <c:pt idx="2">
                  <c:v>576469686</c:v>
                </c:pt>
                <c:pt idx="3">
                  <c:v>2166139388</c:v>
                </c:pt>
                <c:pt idx="4">
                  <c:v>511315080</c:v>
                </c:pt>
                <c:pt idx="5">
                  <c:v>186999998</c:v>
                </c:pt>
                <c:pt idx="6">
                  <c:v>521336891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CE-406C-9410-48B254C94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48293279"/>
        <c:axId val="548294719"/>
      </c:barChart>
      <c:catAx>
        <c:axId val="54829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94719"/>
        <c:crosses val="autoZero"/>
        <c:auto val="1"/>
        <c:lblAlgn val="ctr"/>
        <c:lblOffset val="100"/>
        <c:noMultiLvlLbl val="0"/>
      </c:catAx>
      <c:valAx>
        <c:axId val="54829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29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'Percentage Dom'!$D$1</c:f>
              <c:strCache>
                <c:ptCount val="1"/>
                <c:pt idx="0">
                  <c:v>Percentage Domestic Revenue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'Percentage Dom'!$A$2:$A$31</c:f>
              <c:strCache>
                <c:ptCount val="30"/>
                <c:pt idx="0">
                  <c:v>Rush Hour 2 </c:v>
                </c:pt>
                <c:pt idx="1">
                  <c:v>Mission: Impossible—Fallout </c:v>
                </c:pt>
                <c:pt idx="2">
                  <c:v>No Time to Die</c:v>
                </c:pt>
                <c:pt idx="3">
                  <c:v>White House Down</c:v>
                </c:pt>
                <c:pt idx="4">
                  <c:v>Olympus Has Fallen</c:v>
                </c:pt>
                <c:pt idx="5">
                  <c:v>Harry Potter and the Order of the Phoenix</c:v>
                </c:pt>
                <c:pt idx="6">
                  <c:v>Percy Jackson: Sea of Monsters</c:v>
                </c:pt>
                <c:pt idx="7">
                  <c:v>How to Train Your Dragon</c:v>
                </c:pt>
                <c:pt idx="8">
                  <c:v>Avengers: Endgame</c:v>
                </c:pt>
                <c:pt idx="9">
                  <c:v>Parasite</c:v>
                </c:pt>
                <c:pt idx="10">
                  <c:v>The Karate Kid</c:v>
                </c:pt>
                <c:pt idx="11">
                  <c:v>Home Alone</c:v>
                </c:pt>
                <c:pt idx="12">
                  <c:v>The Godfather</c:v>
                </c:pt>
                <c:pt idx="13">
                  <c:v>Jumanji: Welcome to the Jungle</c:v>
                </c:pt>
                <c:pt idx="14">
                  <c:v>Now You See Me</c:v>
                </c:pt>
                <c:pt idx="15">
                  <c:v>Forrest Gump</c:v>
                </c:pt>
                <c:pt idx="16">
                  <c:v>Spotlight </c:v>
                </c:pt>
                <c:pt idx="17">
                  <c:v>Good Will Hunting</c:v>
                </c:pt>
                <c:pt idx="18">
                  <c:v>Pearl Harbor</c:v>
                </c:pt>
                <c:pt idx="19">
                  <c:v>Titanic </c:v>
                </c:pt>
                <c:pt idx="20">
                  <c:v>The Interpreter</c:v>
                </c:pt>
                <c:pt idx="21">
                  <c:v>Happy Feet</c:v>
                </c:pt>
                <c:pt idx="22">
                  <c:v>Anyone But You</c:v>
                </c:pt>
                <c:pt idx="23">
                  <c:v>300 </c:v>
                </c:pt>
                <c:pt idx="24">
                  <c:v>Avatar</c:v>
                </c:pt>
                <c:pt idx="25">
                  <c:v>The Conjuring</c:v>
                </c:pt>
                <c:pt idx="26">
                  <c:v>The Boy</c:v>
                </c:pt>
                <c:pt idx="27">
                  <c:v>Insidious</c:v>
                </c:pt>
                <c:pt idx="28">
                  <c:v>The Nun </c:v>
                </c:pt>
                <c:pt idx="29">
                  <c:v>Jackass </c:v>
                </c:pt>
              </c:strCache>
            </c:strRef>
          </c:cat>
          <c:val>
            <c:numRef>
              <c:f>'Percentage Dom'!$D$2:$D$31</c:f>
              <c:numCache>
                <c:formatCode>0.00%</c:formatCode>
                <c:ptCount val="30"/>
                <c:pt idx="0">
                  <c:v>0.6509714165410706</c:v>
                </c:pt>
                <c:pt idx="1">
                  <c:v>0.28000459180910486</c:v>
                </c:pt>
                <c:pt idx="2">
                  <c:v>0.21199722707939467</c:v>
                </c:pt>
                <c:pt idx="3">
                  <c:v>0.3558393997768316</c:v>
                </c:pt>
                <c:pt idx="4">
                  <c:v>0.57237510490592713</c:v>
                </c:pt>
                <c:pt idx="5">
                  <c:v>0.31266767457373079</c:v>
                </c:pt>
                <c:pt idx="6">
                  <c:v>0.34133080869033494</c:v>
                </c:pt>
                <c:pt idx="7">
                  <c:v>0.44071680152272796</c:v>
                </c:pt>
                <c:pt idx="8">
                  <c:v>0.31586817338179357</c:v>
                </c:pt>
                <c:pt idx="9">
                  <c:v>0.21234739802727753</c:v>
                </c:pt>
                <c:pt idx="10">
                  <c:v>0.50200170314577663</c:v>
                </c:pt>
                <c:pt idx="11">
                  <c:v>0.59948380381006128</c:v>
                </c:pt>
                <c:pt idx="12">
                  <c:v>0.50546761693496434</c:v>
                </c:pt>
                <c:pt idx="13">
                  <c:v>0.42064799896120847</c:v>
                </c:pt>
                <c:pt idx="14">
                  <c:v>0.34344972943893443</c:v>
                </c:pt>
                <c:pt idx="15">
                  <c:v>0.4856341192614762</c:v>
                </c:pt>
                <c:pt idx="16">
                  <c:v>0.4902565914519047</c:v>
                </c:pt>
                <c:pt idx="17">
                  <c:v>0.61273798385364153</c:v>
                </c:pt>
                <c:pt idx="18">
                  <c:v>0.44194622020767155</c:v>
                </c:pt>
                <c:pt idx="19">
                  <c:v>0.30339415727064478</c:v>
                </c:pt>
                <c:pt idx="20">
                  <c:v>0.44673700073811468</c:v>
                </c:pt>
                <c:pt idx="21">
                  <c:v>0.51428611688278747</c:v>
                </c:pt>
                <c:pt idx="22">
                  <c:v>0.40178237372280989</c:v>
                </c:pt>
                <c:pt idx="23">
                  <c:v>0.46374414667755015</c:v>
                </c:pt>
                <c:pt idx="24">
                  <c:v>0.26857065724705664</c:v>
                </c:pt>
                <c:pt idx="25">
                  <c:v>0.43461300403981862</c:v>
                </c:pt>
                <c:pt idx="26">
                  <c:v>0.48451035550245025</c:v>
                </c:pt>
                <c:pt idx="27">
                  <c:v>0.54078973525878204</c:v>
                </c:pt>
                <c:pt idx="28">
                  <c:v>0.32085802709437172</c:v>
                </c:pt>
                <c:pt idx="29">
                  <c:v>0.68366858424262766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F-41DF-B56E-911AC604A67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81374399"/>
        <c:axId val="781372959"/>
      </c:barChart>
      <c:catAx>
        <c:axId val="781374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72959"/>
        <c:crosses val="autoZero"/>
        <c:auto val="1"/>
        <c:lblAlgn val="ctr"/>
        <c:lblOffset val="100"/>
        <c:noMultiLvlLbl val="0"/>
      </c:catAx>
      <c:valAx>
        <c:axId val="7813729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1374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12700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Revenue Compared to Production Budgets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 Total Revenue 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exp"/>
            <c:dispRSqr val="0"/>
            <c:dispEq val="0"/>
          </c:trendline>
          <c:xVal>
            <c:numRef>
              <c:f>Data!$B$2:$B$31</c:f>
              <c:numCache>
                <c:formatCode>_(* #,##0_);_(* \(#,##0\);_(* "-"??_);_(@_)</c:formatCode>
                <c:ptCount val="30"/>
                <c:pt idx="0">
                  <c:v>90000000</c:v>
                </c:pt>
                <c:pt idx="1">
                  <c:v>178000000</c:v>
                </c:pt>
                <c:pt idx="2">
                  <c:v>250000000</c:v>
                </c:pt>
                <c:pt idx="3">
                  <c:v>150000000</c:v>
                </c:pt>
                <c:pt idx="4">
                  <c:v>70000000</c:v>
                </c:pt>
                <c:pt idx="5">
                  <c:v>150000000</c:v>
                </c:pt>
                <c:pt idx="6">
                  <c:v>90000000</c:v>
                </c:pt>
                <c:pt idx="7">
                  <c:v>165000000</c:v>
                </c:pt>
                <c:pt idx="8">
                  <c:v>400000000</c:v>
                </c:pt>
                <c:pt idx="9">
                  <c:v>11800000</c:v>
                </c:pt>
                <c:pt idx="10">
                  <c:v>40000000</c:v>
                </c:pt>
                <c:pt idx="11">
                  <c:v>15000000</c:v>
                </c:pt>
                <c:pt idx="12">
                  <c:v>7000000</c:v>
                </c:pt>
                <c:pt idx="13">
                  <c:v>90000000</c:v>
                </c:pt>
                <c:pt idx="14">
                  <c:v>75000000</c:v>
                </c:pt>
                <c:pt idx="15">
                  <c:v>55000000</c:v>
                </c:pt>
                <c:pt idx="16">
                  <c:v>20000000</c:v>
                </c:pt>
                <c:pt idx="17">
                  <c:v>10000000</c:v>
                </c:pt>
                <c:pt idx="18">
                  <c:v>151500000</c:v>
                </c:pt>
                <c:pt idx="19">
                  <c:v>200000000</c:v>
                </c:pt>
                <c:pt idx="20">
                  <c:v>90000000</c:v>
                </c:pt>
                <c:pt idx="21">
                  <c:v>85000000</c:v>
                </c:pt>
                <c:pt idx="22">
                  <c:v>25000000</c:v>
                </c:pt>
                <c:pt idx="23">
                  <c:v>60000000</c:v>
                </c:pt>
                <c:pt idx="24">
                  <c:v>237000000</c:v>
                </c:pt>
                <c:pt idx="25">
                  <c:v>20000000</c:v>
                </c:pt>
                <c:pt idx="26">
                  <c:v>10000000</c:v>
                </c:pt>
                <c:pt idx="27">
                  <c:v>1500000</c:v>
                </c:pt>
                <c:pt idx="28">
                  <c:v>22000000</c:v>
                </c:pt>
                <c:pt idx="29">
                  <c:v>20000000</c:v>
                </c:pt>
              </c:numCache>
            </c:numRef>
          </c:xVal>
          <c:yVal>
            <c:numRef>
              <c:f>Data!$E$2:$E$31</c:f>
              <c:numCache>
                <c:formatCode>_(* #,##0_);_(* \(#,##0\);_(* "-"??_);_(@_)</c:formatCode>
                <c:ptCount val="30"/>
                <c:pt idx="0">
                  <c:v>347425832</c:v>
                </c:pt>
                <c:pt idx="1">
                  <c:v>786269620</c:v>
                </c:pt>
                <c:pt idx="2">
                  <c:v>758929771</c:v>
                </c:pt>
                <c:pt idx="3">
                  <c:v>205440387</c:v>
                </c:pt>
                <c:pt idx="4">
                  <c:v>172836993</c:v>
                </c:pt>
                <c:pt idx="5">
                  <c:v>937444235</c:v>
                </c:pt>
                <c:pt idx="6">
                  <c:v>200859554</c:v>
                </c:pt>
                <c:pt idx="7">
                  <c:v>494312845</c:v>
                </c:pt>
                <c:pt idx="8">
                  <c:v>2717503922</c:v>
                </c:pt>
                <c:pt idx="9">
                  <c:v>253678159</c:v>
                </c:pt>
                <c:pt idx="10">
                  <c:v>351774938</c:v>
                </c:pt>
                <c:pt idx="11">
                  <c:v>476678838</c:v>
                </c:pt>
                <c:pt idx="12">
                  <c:v>270007394</c:v>
                </c:pt>
                <c:pt idx="13">
                  <c:v>961632807</c:v>
                </c:pt>
                <c:pt idx="14">
                  <c:v>342769200</c:v>
                </c:pt>
                <c:pt idx="15">
                  <c:v>679835137</c:v>
                </c:pt>
                <c:pt idx="16">
                  <c:v>91902438</c:v>
                </c:pt>
                <c:pt idx="17">
                  <c:v>225925989</c:v>
                </c:pt>
                <c:pt idx="18">
                  <c:v>449239853</c:v>
                </c:pt>
                <c:pt idx="19">
                  <c:v>2223048786</c:v>
                </c:pt>
                <c:pt idx="20">
                  <c:v>162753837</c:v>
                </c:pt>
                <c:pt idx="21">
                  <c:v>385000315</c:v>
                </c:pt>
                <c:pt idx="22">
                  <c:v>219819668</c:v>
                </c:pt>
                <c:pt idx="23">
                  <c:v>454161935</c:v>
                </c:pt>
                <c:pt idx="24">
                  <c:v>2923706026</c:v>
                </c:pt>
                <c:pt idx="25">
                  <c:v>316143649</c:v>
                </c:pt>
                <c:pt idx="26">
                  <c:v>73929392</c:v>
                </c:pt>
                <c:pt idx="27">
                  <c:v>99870886</c:v>
                </c:pt>
                <c:pt idx="28">
                  <c:v>366050119</c:v>
                </c:pt>
                <c:pt idx="29">
                  <c:v>171471521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9D-4B34-B59A-6159C3921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2705775"/>
        <c:axId val="704880047"/>
      </c:scatterChart>
      <c:valAx>
        <c:axId val="862705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Budget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880047"/>
        <c:crosses val="autoZero"/>
        <c:crossBetween val="midCat"/>
      </c:valAx>
      <c:valAx>
        <c:axId val="70488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705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Average of Profit Margin by Genre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Average of Profit Margin by Genre</a:t>
          </a:r>
        </a:p>
      </cx:txPr>
    </cx:title>
    <cx:plotArea>
      <cx:plotAreaRegion>
        <cx:series layoutId="funnel" uniqueId="{2A83BF48-F44C-4F62-A39A-BC66FACECBCE}">
          <cx:tx>
            <cx:txData>
              <cx:f>_xlchart.v2.1</cx:f>
              <cx:v>Average of Profit Margin</cx:v>
            </cx:txData>
          </cx:tx>
          <cx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 cap="flat" cmpd="sng" algn="ctr">
              <a:solidFill>
                <a:schemeClr val="accent4"/>
              </a:solidFill>
              <a:prstDash val="solid"/>
              <a:miter lim="800000"/>
            </a:ln>
            <a:effectLst/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  <cx:spPr>
    <a:ln w="12700">
      <a:solidFill>
        <a:schemeClr val="accent4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</xdr:colOff>
      <xdr:row>0</xdr:row>
      <xdr:rowOff>87630</xdr:rowOff>
    </xdr:from>
    <xdr:to>
      <xdr:col>12</xdr:col>
      <xdr:colOff>373380</xdr:colOff>
      <xdr:row>17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FEE57-65C7-F733-1EEB-108CA8706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16412</xdr:colOff>
      <xdr:row>0</xdr:row>
      <xdr:rowOff>45720</xdr:rowOff>
    </xdr:from>
    <xdr:to>
      <xdr:col>12</xdr:col>
      <xdr:colOff>571500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5BBD22-EC52-47BE-B858-5C68179173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0</xdr:row>
      <xdr:rowOff>57150</xdr:rowOff>
    </xdr:from>
    <xdr:to>
      <xdr:col>18</xdr:col>
      <xdr:colOff>464820</xdr:colOff>
      <xdr:row>30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3B1EA0-6064-8F99-EC89-8AA4F1E6A8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2612571" y="119743"/>
    <xdr:ext cx="12845143" cy="622663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CAD73-097A-4FEC-ADAD-D3D2466DA8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</xdr:colOff>
      <xdr:row>1</xdr:row>
      <xdr:rowOff>3810</xdr:rowOff>
    </xdr:from>
    <xdr:to>
      <xdr:col>11</xdr:col>
      <xdr:colOff>441960</xdr:colOff>
      <xdr:row>16</xdr:row>
      <xdr:rowOff>152400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7E41D52-249A-3585-F1A8-D5B2EDCB8B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905250" y="201930"/>
              <a:ext cx="5764530" cy="31203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16714D-A713-42E7-B475-C061B8C9D5E7}" name="Table4" displayName="Table4" ref="A1:O31" totalsRowShown="0" headerRowDxfId="23">
  <autoFilter ref="A1:O31" xr:uid="{825B9639-4269-4B71-9422-4B9500C1B895}"/>
  <tableColumns count="15">
    <tableColumn id="1" xr3:uid="{E6AC04D3-9E8B-4163-AAF3-049EC1EB62AB}" name="Movie"/>
    <tableColumn id="2" xr3:uid="{F5B91F86-86E1-4A13-9EDF-EC1E01036252}" name="Production Budget" dataDxfId="22" dataCellStyle="Comma"/>
    <tableColumn id="3" xr3:uid="{28C1C37E-FB81-4057-AC9C-6D73DEBB9834}" name="Domestic Revenue" dataDxfId="21" dataCellStyle="Comma"/>
    <tableColumn id="4" xr3:uid="{630BEA5A-D07D-40EF-A2A3-7D194B5D9B82}" name="Int'l Revenue" dataDxfId="20" dataCellStyle="Comma"/>
    <tableColumn id="5" xr3:uid="{31EEB9C2-C218-4535-9E4E-97EC48DA0878}" name="Total Revenue" dataDxfId="19" dataCellStyle="Comma">
      <calculatedColumnFormula>C2+D2</calculatedColumnFormula>
    </tableColumn>
    <tableColumn id="6" xr3:uid="{75777C24-F766-40F6-9360-E698CE2E915C}" name="Release Date" dataDxfId="18"/>
    <tableColumn id="7" xr3:uid="{68239B0A-2F85-4F30-BD11-417A1A88444B}" name="Release Season" dataDxfId="17">
      <calculatedColumnFormula>IF(OR(MONTH(F2)=12, MONTH(F2)&lt;=2),"Winter", IF(MONTH(F2)&lt;=5,"Spring", IF(MONTH(F2)&lt;=8,"Summer","Fall")))</calculatedColumnFormula>
    </tableColumn>
    <tableColumn id="8" xr3:uid="{420A7DA2-2EF8-424D-B991-67E830993536}" name="Genre" dataDxfId="16"/>
    <tableColumn id="9" xr3:uid="{8E82C638-3362-428C-B686-A747F0FC0E95}" name="Profitability" dataDxfId="15" dataCellStyle="Comma">
      <calculatedColumnFormula>(E2)-B2</calculatedColumnFormula>
    </tableColumn>
    <tableColumn id="10" xr3:uid="{5E20371E-4CC9-4505-9A4F-24D899B6D64E}" name="Profit Margin" dataDxfId="14" dataCellStyle="Percent">
      <calculatedColumnFormula>(I2/(E2))</calculatedColumnFormula>
    </tableColumn>
    <tableColumn id="11" xr3:uid="{B1CB8524-9467-4C2A-A7BD-17E7436E072F}" name="Domestic as % of Total" dataDxfId="13" dataCellStyle="Percent">
      <calculatedColumnFormula>C2/(E2)</calculatedColumnFormula>
    </tableColumn>
    <tableColumn id="12" xr3:uid="{1A703750-BB56-498A-8EB2-13D1B37173B5}" name="AVG Profit"/>
    <tableColumn id="13" xr3:uid="{AF764A0B-7E3E-494A-B44A-57AE5523D47F}" name="AVG Profit Margin"/>
    <tableColumn id="14" xr3:uid="{2F6EC5E9-21D0-4EE6-8CB2-99EEDD218EB0}" name="ROI" dataDxfId="12" dataCellStyle="Percent">
      <calculatedColumnFormula>(((E2)-B2)/B2)</calculatedColumnFormula>
    </tableColumn>
    <tableColumn id="15" xr3:uid="{72DBB470-427F-451C-815C-AA14D31F8770}" name="Link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7130CB-D9AC-4F7B-B3F6-1C4BFB45308E}" name="Table1" displayName="Table1" ref="A1:B8" totalsRowShown="0" headerRowDxfId="11" headerRowBorderDxfId="10" tableBorderDxfId="9" totalsRowBorderDxfId="8">
  <autoFilter ref="A1:B8" xr:uid="{187130CB-D9AC-4F7B-B3F6-1C4BFB45308E}"/>
  <tableColumns count="2">
    <tableColumn id="1" xr3:uid="{E418A92E-981F-4924-BBA7-7EDE1E529E57}" name="Genre" dataDxfId="7"/>
    <tableColumn id="2" xr3:uid="{86CFEB36-A587-4400-8FBB-6A055F8270AD}" name="Average of ROI" dataDxfId="6" dataCellStyle="Percent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78D51E-C0F5-420D-96C1-2E2FB4DEA7ED}" name="Table2" displayName="Table2" ref="A1:C9" totalsRowShown="0">
  <autoFilter ref="A1:C9" xr:uid="{AD78D51E-C0F5-420D-96C1-2E2FB4DEA7ED}"/>
  <tableColumns count="3">
    <tableColumn id="1" xr3:uid="{3601CC16-7438-4856-89A1-02559B1A28A9}" name="Genre"/>
    <tableColumn id="2" xr3:uid="{82234FFC-2731-402E-AEA3-3CF78014199F}" name="Sum of Domestic Revenue" dataDxfId="5" dataCellStyle="Comma"/>
    <tableColumn id="3" xr3:uid="{230B76E4-EB94-43A1-B0CB-C510AE2AC7FC}" name="Sum of Int'l Revenue" dataDxfId="4" dataCellStyle="Comma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98636A-6645-4495-BC98-4FB9E14BFB21}" name="Table5" displayName="Table5" ref="A1:D31" totalsRowShown="0">
  <autoFilter ref="A1:D31" xr:uid="{1798636A-6645-4495-BC98-4FB9E14BFB21}"/>
  <tableColumns count="4">
    <tableColumn id="1" xr3:uid="{57FA0353-50FC-497F-8CFD-CB00A2F9A250}" name="Movie"/>
    <tableColumn id="2" xr3:uid="{87846B3D-7384-412C-837F-CDD2D0715E79}" name="Domestic Revenue" dataDxfId="3" dataCellStyle="Comma"/>
    <tableColumn id="3" xr3:uid="{61F296B9-3958-4B27-AB1F-6B04DE8307AE}" name="Total Revenue" dataDxfId="2" dataCellStyle="Comma"/>
    <tableColumn id="4" xr3:uid="{0B148754-7C0D-49FC-86A4-27873770F6B9}" name="Percentage Domestic Revenue" dataDxfId="1" dataCellStyle="Percent">
      <calculatedColumnFormula>B2/C2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E3C23C5-C345-4AED-8DD4-E3A931588F55}" name="Table6" displayName="Table6" ref="A2:B9" totalsRowShown="0">
  <autoFilter ref="A2:B9" xr:uid="{FE3C23C5-C345-4AED-8DD4-E3A931588F55}"/>
  <tableColumns count="2">
    <tableColumn id="1" xr3:uid="{66A4D62C-A986-4A96-80FE-19F73C3878C7}" name="Genre"/>
    <tableColumn id="2" xr3:uid="{0B4B833E-CAA5-46AA-A88A-D835ED7D2826}" name="Average of Profit Margin" dataDxfId="24" dataCellStyle="Percent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9639-4269-4B71-9422-4B9500C1B895}">
  <dimension ref="A1:O31"/>
  <sheetViews>
    <sheetView workbookViewId="0">
      <selection activeCell="G27" sqref="G27"/>
    </sheetView>
  </sheetViews>
  <sheetFormatPr defaultRowHeight="15.6" x14ac:dyDescent="0.3"/>
  <cols>
    <col min="1" max="1" width="36.8984375" bestFit="1" customWidth="1"/>
    <col min="2" max="2" width="19.59765625" style="2" customWidth="1"/>
    <col min="3" max="3" width="19.69921875" style="2" customWidth="1"/>
    <col min="4" max="4" width="15.3984375" style="2" customWidth="1"/>
    <col min="5" max="5" width="16.3984375" style="2" customWidth="1"/>
    <col min="6" max="6" width="13.8984375" customWidth="1"/>
    <col min="7" max="7" width="15.69921875" style="23" customWidth="1"/>
    <col min="8" max="8" width="15.09765625" style="23" bestFit="1" customWidth="1"/>
    <col min="9" max="9" width="14.09765625" style="2" customWidth="1"/>
    <col min="10" max="10" width="15.5" style="2" customWidth="1"/>
    <col min="11" max="11" width="22.19921875" style="3" customWidth="1"/>
    <col min="12" max="12" width="12.69921875" bestFit="1" customWidth="1"/>
    <col min="13" max="13" width="19.5" bestFit="1" customWidth="1"/>
    <col min="14" max="14" width="8.796875" style="3" bestFit="1" customWidth="1"/>
    <col min="15" max="15" width="66.5" bestFit="1" customWidth="1"/>
  </cols>
  <sheetData>
    <row r="1" spans="1:15" s="19" customFormat="1" x14ac:dyDescent="0.3">
      <c r="A1" s="19" t="s">
        <v>0</v>
      </c>
      <c r="B1" s="21" t="s">
        <v>1</v>
      </c>
      <c r="C1" s="21" t="s">
        <v>2</v>
      </c>
      <c r="D1" s="21" t="s">
        <v>3</v>
      </c>
      <c r="E1" s="21" t="s">
        <v>15</v>
      </c>
      <c r="F1" s="19" t="s">
        <v>5</v>
      </c>
      <c r="G1" s="19" t="s">
        <v>6</v>
      </c>
      <c r="H1" s="19" t="s">
        <v>7</v>
      </c>
      <c r="I1" s="21" t="s">
        <v>4</v>
      </c>
      <c r="J1" s="21" t="s">
        <v>12</v>
      </c>
      <c r="K1" s="22" t="s">
        <v>9</v>
      </c>
      <c r="L1" s="19" t="s">
        <v>14</v>
      </c>
      <c r="M1" s="19" t="s">
        <v>13</v>
      </c>
      <c r="N1" s="22" t="s">
        <v>11</v>
      </c>
      <c r="O1" s="19" t="s">
        <v>87</v>
      </c>
    </row>
    <row r="2" spans="1:15" x14ac:dyDescent="0.3">
      <c r="A2" t="s">
        <v>21</v>
      </c>
      <c r="B2" s="2">
        <v>90000000</v>
      </c>
      <c r="C2" s="2">
        <v>226164286</v>
      </c>
      <c r="D2" s="2">
        <v>121261546</v>
      </c>
      <c r="E2" s="2">
        <f t="shared" ref="E2:E4" si="0">C2+D2</f>
        <v>347425832</v>
      </c>
      <c r="F2" s="1">
        <v>40758</v>
      </c>
      <c r="G2" s="23" t="str">
        <f>IF(OR(MONTH(F2)=12, MONTH(F2)&lt;=2),"Winter", IF(MONTH(F2)&lt;=5,"Spring", IF(MONTH(F2)&lt;=8,"Summer","Fall")))</f>
        <v>Summer</v>
      </c>
      <c r="H2" s="23" t="s">
        <v>16</v>
      </c>
      <c r="I2" s="2">
        <f>(E2)-B2</f>
        <v>257425832</v>
      </c>
      <c r="J2" s="3">
        <f>(I2/(E2))</f>
        <v>0.74095190480827577</v>
      </c>
      <c r="K2" s="3">
        <f t="shared" ref="K2" si="1">C2/(E2)</f>
        <v>0.6509714165410706</v>
      </c>
      <c r="L2" s="6">
        <f>AVERAGE(I:I)</f>
        <v>511054134.86666667</v>
      </c>
      <c r="M2" s="7">
        <f>AVERAGE(J:J)</f>
        <v>0.80566612984384522</v>
      </c>
      <c r="N2" s="3">
        <f>(((E2)-B2)/B2)</f>
        <v>2.8602870222222223</v>
      </c>
      <c r="O2" t="s">
        <v>17</v>
      </c>
    </row>
    <row r="3" spans="1:15" x14ac:dyDescent="0.3">
      <c r="A3" t="s">
        <v>20</v>
      </c>
      <c r="B3" s="2">
        <v>178000000</v>
      </c>
      <c r="C3" s="2">
        <v>220159104</v>
      </c>
      <c r="D3" s="2">
        <v>566110516</v>
      </c>
      <c r="E3" s="2">
        <f t="shared" si="0"/>
        <v>786269620</v>
      </c>
      <c r="F3" s="1">
        <v>43308</v>
      </c>
      <c r="G3" s="23" t="str">
        <f>IF(OR(MONTH(F3)=12, MONTH(F3)&lt;=2),"Winter", IF(MONTH(F3)&lt;=5,"Spring", IF(MONTH(F3)&lt;=8,"Summer","Fall")))</f>
        <v>Summer</v>
      </c>
      <c r="H3" s="23" t="s">
        <v>16</v>
      </c>
      <c r="I3" s="2">
        <f>(E3)-B3</f>
        <v>608269620</v>
      </c>
      <c r="J3" s="3">
        <f t="shared" ref="J3" si="2">(I3/(E3))</f>
        <v>0.77361455221937736</v>
      </c>
      <c r="K3" s="3">
        <f t="shared" ref="K3" si="3">C3/(E3)</f>
        <v>0.28000459180910486</v>
      </c>
      <c r="N3" s="3">
        <f t="shared" ref="N3" si="4">(((E3)-B3)/B3)</f>
        <v>3.4172450561797754</v>
      </c>
      <c r="O3" t="s">
        <v>18</v>
      </c>
    </row>
    <row r="4" spans="1:15" x14ac:dyDescent="0.3">
      <c r="A4" t="s">
        <v>19</v>
      </c>
      <c r="B4" s="2">
        <v>250000000</v>
      </c>
      <c r="C4" s="2">
        <v>160891007</v>
      </c>
      <c r="D4" s="2">
        <v>598038764</v>
      </c>
      <c r="E4" s="2">
        <f t="shared" si="0"/>
        <v>758929771</v>
      </c>
      <c r="F4" s="1">
        <v>44477</v>
      </c>
      <c r="G4" s="23" t="str">
        <f>IF(OR(MONTH(F4)=12, MONTH(F4)&lt;=2),"Winter", IF(MONTH(F4)&lt;=5,"Spring", IF(MONTH(F4)&lt;=8,"Summer","Fall")))</f>
        <v>Fall</v>
      </c>
      <c r="H4" s="23" t="s">
        <v>16</v>
      </c>
      <c r="I4" s="2">
        <f>(E4)-B4</f>
        <v>508929771</v>
      </c>
      <c r="J4" s="3">
        <f t="shared" ref="J4" si="5">(I4/(E4))</f>
        <v>0.67058875596540535</v>
      </c>
      <c r="K4" s="3">
        <f t="shared" ref="K4" si="6">C4/(E4)</f>
        <v>0.21199722707939467</v>
      </c>
      <c r="N4" s="3">
        <f t="shared" ref="N4" si="7">(((E4)-B4)/B4)</f>
        <v>2.0357190840000001</v>
      </c>
      <c r="O4" t="s">
        <v>22</v>
      </c>
    </row>
    <row r="5" spans="1:15" x14ac:dyDescent="0.3">
      <c r="A5" t="s">
        <v>23</v>
      </c>
      <c r="B5" s="2">
        <v>150000000</v>
      </c>
      <c r="C5" s="2">
        <v>73103784</v>
      </c>
      <c r="D5" s="2">
        <v>132336603</v>
      </c>
      <c r="E5" s="2">
        <f t="shared" ref="E5:E31" si="8">C5+D5</f>
        <v>205440387</v>
      </c>
      <c r="F5" s="1">
        <v>41453</v>
      </c>
      <c r="G5" s="23" t="str">
        <f>IF(OR(MONTH(F5)=12, MONTH(F5)&lt;=2),"Winter", IF(MONTH(F5)&lt;=5,"Spring", IF(MONTH(F5)&lt;=8,"Summer","Fall")))</f>
        <v>Summer</v>
      </c>
      <c r="H5" s="23" t="s">
        <v>8</v>
      </c>
      <c r="I5" s="2">
        <f>(E5)-B5</f>
        <v>55440387</v>
      </c>
      <c r="J5" s="3">
        <f t="shared" ref="J5" si="9">(I5/(E5))</f>
        <v>0.26986118849162799</v>
      </c>
      <c r="K5" s="3">
        <f t="shared" ref="K5" si="10">C5/(E5)</f>
        <v>0.3558393997768316</v>
      </c>
      <c r="N5" s="3">
        <f t="shared" ref="N5" si="11">(((E5)-B5)/B5)</f>
        <v>0.36960258000000001</v>
      </c>
      <c r="O5" t="s">
        <v>27</v>
      </c>
    </row>
    <row r="6" spans="1:15" x14ac:dyDescent="0.3">
      <c r="A6" t="s">
        <v>24</v>
      </c>
      <c r="B6" s="2">
        <v>70000000</v>
      </c>
      <c r="C6" s="2">
        <v>98927592</v>
      </c>
      <c r="D6" s="2">
        <v>73909401</v>
      </c>
      <c r="E6" s="2">
        <f t="shared" si="8"/>
        <v>172836993</v>
      </c>
      <c r="F6" s="1">
        <v>41355</v>
      </c>
      <c r="G6" s="23" t="str">
        <f t="shared" ref="G6:G31" si="12">IF(OR(MONTH(F6)=12, MONTH(F6)&lt;=2),"Winter", IF(MONTH(F6)&lt;=5,"Spring", IF(MONTH(F6)&lt;=8,"Summer","Fall")))</f>
        <v>Spring</v>
      </c>
      <c r="H6" s="23" t="s">
        <v>8</v>
      </c>
      <c r="I6" s="2">
        <f t="shared" ref="I6:I31" si="13">(E6)-B6</f>
        <v>102836993</v>
      </c>
      <c r="J6" s="3">
        <f t="shared" ref="J6:J31" si="14">(I6/(E6))</f>
        <v>0.59499411101187116</v>
      </c>
      <c r="K6" s="3">
        <f t="shared" ref="K6:K31" si="15">C6/(E6)</f>
        <v>0.57237510490592713</v>
      </c>
      <c r="N6" s="3">
        <f t="shared" ref="N6:N31" si="16">(((E6)-B6)/B6)</f>
        <v>1.4690999</v>
      </c>
      <c r="O6" t="s">
        <v>28</v>
      </c>
    </row>
    <row r="7" spans="1:15" x14ac:dyDescent="0.3">
      <c r="A7" t="s">
        <v>25</v>
      </c>
      <c r="B7" s="2">
        <v>150000000</v>
      </c>
      <c r="C7" s="2">
        <v>293108509</v>
      </c>
      <c r="D7" s="2">
        <v>644335726</v>
      </c>
      <c r="E7" s="2">
        <f t="shared" si="8"/>
        <v>937444235</v>
      </c>
      <c r="F7" s="1">
        <v>39274</v>
      </c>
      <c r="G7" s="23" t="str">
        <f t="shared" si="12"/>
        <v>Summer</v>
      </c>
      <c r="H7" s="23" t="s">
        <v>10</v>
      </c>
      <c r="I7" s="2">
        <f t="shared" si="13"/>
        <v>787444235</v>
      </c>
      <c r="J7" s="3">
        <f t="shared" si="14"/>
        <v>0.83999048220718964</v>
      </c>
      <c r="K7" s="3">
        <f t="shared" si="15"/>
        <v>0.31266767457373079</v>
      </c>
      <c r="N7" s="3">
        <f t="shared" si="16"/>
        <v>5.2496282333333335</v>
      </c>
      <c r="O7" t="s">
        <v>26</v>
      </c>
    </row>
    <row r="8" spans="1:15" x14ac:dyDescent="0.3">
      <c r="A8" t="s">
        <v>29</v>
      </c>
      <c r="B8" s="2">
        <v>90000000</v>
      </c>
      <c r="C8" s="2">
        <v>68559554</v>
      </c>
      <c r="D8" s="2">
        <v>132300000</v>
      </c>
      <c r="E8" s="2">
        <f t="shared" si="8"/>
        <v>200859554</v>
      </c>
      <c r="F8" s="1">
        <v>41493</v>
      </c>
      <c r="G8" s="23" t="str">
        <f t="shared" si="12"/>
        <v>Summer</v>
      </c>
      <c r="H8" s="23" t="s">
        <v>10</v>
      </c>
      <c r="I8" s="2">
        <f t="shared" si="13"/>
        <v>110859554</v>
      </c>
      <c r="J8" s="3">
        <f t="shared" si="14"/>
        <v>0.55192572019750674</v>
      </c>
      <c r="K8" s="3">
        <f t="shared" si="15"/>
        <v>0.34133080869033494</v>
      </c>
      <c r="N8" s="3">
        <f t="shared" si="16"/>
        <v>1.2317728222222222</v>
      </c>
      <c r="O8" t="s">
        <v>30</v>
      </c>
    </row>
    <row r="9" spans="1:15" x14ac:dyDescent="0.3">
      <c r="A9" t="s">
        <v>31</v>
      </c>
      <c r="B9" s="2">
        <v>165000000</v>
      </c>
      <c r="C9" s="2">
        <v>217851976</v>
      </c>
      <c r="D9" s="2">
        <v>276460869</v>
      </c>
      <c r="E9" s="2">
        <f t="shared" si="8"/>
        <v>494312845</v>
      </c>
      <c r="F9" s="1">
        <v>43916</v>
      </c>
      <c r="G9" s="23" t="str">
        <f t="shared" si="12"/>
        <v>Spring</v>
      </c>
      <c r="H9" s="23" t="s">
        <v>10</v>
      </c>
      <c r="I9" s="2">
        <f t="shared" si="13"/>
        <v>329312845</v>
      </c>
      <c r="J9" s="3">
        <f t="shared" si="14"/>
        <v>0.66620329277504409</v>
      </c>
      <c r="K9" s="3">
        <f t="shared" si="15"/>
        <v>0.44071680152272796</v>
      </c>
      <c r="N9" s="3">
        <f t="shared" si="16"/>
        <v>1.9958354242424243</v>
      </c>
      <c r="O9" t="s">
        <v>32</v>
      </c>
    </row>
    <row r="10" spans="1:15" x14ac:dyDescent="0.3">
      <c r="A10" t="s">
        <v>33</v>
      </c>
      <c r="B10" s="2">
        <v>400000000</v>
      </c>
      <c r="C10" s="2">
        <v>858373000</v>
      </c>
      <c r="D10" s="2">
        <v>1859130922</v>
      </c>
      <c r="E10" s="2">
        <f t="shared" si="8"/>
        <v>2717503922</v>
      </c>
      <c r="F10" s="1">
        <v>43581</v>
      </c>
      <c r="G10" s="23" t="str">
        <f t="shared" si="12"/>
        <v>Spring</v>
      </c>
      <c r="H10" s="23" t="s">
        <v>16</v>
      </c>
      <c r="I10" s="2">
        <f t="shared" si="13"/>
        <v>2317503922</v>
      </c>
      <c r="J10" s="3">
        <f t="shared" si="14"/>
        <v>0.85280610020035874</v>
      </c>
      <c r="K10" s="3">
        <f t="shared" si="15"/>
        <v>0.31586817338179357</v>
      </c>
      <c r="N10" s="3">
        <f t="shared" si="16"/>
        <v>5.7937598049999997</v>
      </c>
      <c r="O10" t="s">
        <v>34</v>
      </c>
    </row>
    <row r="11" spans="1:15" x14ac:dyDescent="0.3">
      <c r="A11" t="s">
        <v>35</v>
      </c>
      <c r="B11" s="2">
        <v>11800000</v>
      </c>
      <c r="C11" s="2">
        <v>53867897</v>
      </c>
      <c r="D11" s="2">
        <v>199810262</v>
      </c>
      <c r="E11" s="2">
        <f t="shared" si="8"/>
        <v>253678159</v>
      </c>
      <c r="F11" s="1">
        <v>43749</v>
      </c>
      <c r="G11" s="23" t="str">
        <f t="shared" si="12"/>
        <v>Fall</v>
      </c>
      <c r="H11" s="23" t="s">
        <v>40</v>
      </c>
      <c r="I11" s="2">
        <f t="shared" si="13"/>
        <v>241878159</v>
      </c>
      <c r="J11" s="3">
        <f t="shared" si="14"/>
        <v>0.9534843675682777</v>
      </c>
      <c r="K11" s="3">
        <f t="shared" si="15"/>
        <v>0.21234739802727753</v>
      </c>
      <c r="N11" s="3">
        <f>(((E11)-B11)/B11)</f>
        <v>20.498149067796611</v>
      </c>
      <c r="O11" t="s">
        <v>36</v>
      </c>
    </row>
    <row r="12" spans="1:15" x14ac:dyDescent="0.3">
      <c r="A12" t="s">
        <v>37</v>
      </c>
      <c r="B12" s="2">
        <v>40000000</v>
      </c>
      <c r="C12" s="2">
        <v>176591618</v>
      </c>
      <c r="D12" s="2">
        <v>175183320</v>
      </c>
      <c r="E12" s="2">
        <f t="shared" si="8"/>
        <v>351774938</v>
      </c>
      <c r="F12" s="1">
        <v>40340</v>
      </c>
      <c r="G12" s="23" t="str">
        <f t="shared" si="12"/>
        <v>Summer</v>
      </c>
      <c r="H12" s="23" t="s">
        <v>16</v>
      </c>
      <c r="I12" s="2">
        <f t="shared" si="13"/>
        <v>311774938</v>
      </c>
      <c r="J12" s="3">
        <f t="shared" si="14"/>
        <v>0.88629093298283801</v>
      </c>
      <c r="K12" s="3">
        <f t="shared" si="15"/>
        <v>0.50200170314577663</v>
      </c>
      <c r="N12" s="3">
        <f t="shared" si="16"/>
        <v>7.7943734500000001</v>
      </c>
      <c r="O12" t="s">
        <v>38</v>
      </c>
    </row>
    <row r="13" spans="1:15" x14ac:dyDescent="0.3">
      <c r="A13" t="s">
        <v>39</v>
      </c>
      <c r="B13" s="2">
        <v>15000000</v>
      </c>
      <c r="C13" s="2">
        <v>285761243</v>
      </c>
      <c r="D13" s="2">
        <v>190917595</v>
      </c>
      <c r="E13" s="2">
        <f t="shared" si="8"/>
        <v>476678838</v>
      </c>
      <c r="F13" s="1">
        <v>33193</v>
      </c>
      <c r="G13" s="23" t="str">
        <f t="shared" si="12"/>
        <v>Fall</v>
      </c>
      <c r="H13" s="23" t="s">
        <v>40</v>
      </c>
      <c r="I13" s="2">
        <f t="shared" si="13"/>
        <v>461678838</v>
      </c>
      <c r="J13" s="3">
        <f t="shared" si="14"/>
        <v>0.96853227203679637</v>
      </c>
      <c r="K13" s="3">
        <f t="shared" si="15"/>
        <v>0.59948380381006128</v>
      </c>
      <c r="N13" s="3">
        <f t="shared" si="16"/>
        <v>30.778589199999999</v>
      </c>
      <c r="O13" t="s">
        <v>41</v>
      </c>
    </row>
    <row r="14" spans="1:15" x14ac:dyDescent="0.3">
      <c r="A14" t="s">
        <v>42</v>
      </c>
      <c r="B14" s="2">
        <v>7000000</v>
      </c>
      <c r="C14" s="2">
        <v>136479994</v>
      </c>
      <c r="D14" s="2">
        <v>133527400</v>
      </c>
      <c r="E14" s="2">
        <f t="shared" si="8"/>
        <v>270007394</v>
      </c>
      <c r="F14" s="1">
        <v>26373</v>
      </c>
      <c r="G14" s="23" t="str">
        <f t="shared" si="12"/>
        <v>Spring</v>
      </c>
      <c r="H14" s="23" t="s">
        <v>43</v>
      </c>
      <c r="I14" s="2">
        <f t="shared" si="13"/>
        <v>263007394</v>
      </c>
      <c r="J14" s="3">
        <f t="shared" si="14"/>
        <v>0.97407478404091408</v>
      </c>
      <c r="K14" s="3">
        <f t="shared" si="15"/>
        <v>0.50546761693496434</v>
      </c>
      <c r="N14" s="3">
        <f t="shared" si="16"/>
        <v>37.572484857142854</v>
      </c>
      <c r="O14" t="s">
        <v>44</v>
      </c>
    </row>
    <row r="15" spans="1:15" x14ac:dyDescent="0.3">
      <c r="A15" t="s">
        <v>45</v>
      </c>
      <c r="B15" s="2">
        <v>90000000</v>
      </c>
      <c r="C15" s="2">
        <v>404508916</v>
      </c>
      <c r="D15" s="2">
        <v>557123891</v>
      </c>
      <c r="E15" s="2">
        <f t="shared" si="8"/>
        <v>961632807</v>
      </c>
      <c r="F15" s="1">
        <v>43089</v>
      </c>
      <c r="G15" s="23" t="str">
        <f t="shared" si="12"/>
        <v>Winter</v>
      </c>
      <c r="H15" s="23" t="s">
        <v>10</v>
      </c>
      <c r="I15" s="2">
        <f t="shared" si="13"/>
        <v>871632807</v>
      </c>
      <c r="J15" s="3">
        <f t="shared" si="14"/>
        <v>0.90640918306357243</v>
      </c>
      <c r="K15" s="3">
        <f t="shared" si="15"/>
        <v>0.42064799896120847</v>
      </c>
      <c r="N15" s="3">
        <f t="shared" si="16"/>
        <v>9.684808966666667</v>
      </c>
      <c r="O15" t="s">
        <v>46</v>
      </c>
    </row>
    <row r="16" spans="1:15" x14ac:dyDescent="0.3">
      <c r="A16" t="s">
        <v>47</v>
      </c>
      <c r="B16" s="2">
        <v>75000000</v>
      </c>
      <c r="C16" s="2">
        <v>117723989</v>
      </c>
      <c r="D16" s="2">
        <v>225045211</v>
      </c>
      <c r="E16" s="2">
        <f t="shared" si="8"/>
        <v>342769200</v>
      </c>
      <c r="F16" s="1">
        <v>41425</v>
      </c>
      <c r="G16" s="23" t="str">
        <f t="shared" si="12"/>
        <v>Spring</v>
      </c>
      <c r="H16" s="23" t="s">
        <v>8</v>
      </c>
      <c r="I16" s="2">
        <f t="shared" si="13"/>
        <v>267769200</v>
      </c>
      <c r="J16" s="3">
        <f t="shared" si="14"/>
        <v>0.78119387622925285</v>
      </c>
      <c r="K16" s="3">
        <f t="shared" si="15"/>
        <v>0.34344972943893443</v>
      </c>
      <c r="N16" s="3">
        <f t="shared" si="16"/>
        <v>3.5702560000000001</v>
      </c>
      <c r="O16" t="s">
        <v>48</v>
      </c>
    </row>
    <row r="17" spans="1:15" x14ac:dyDescent="0.3">
      <c r="A17" t="s">
        <v>49</v>
      </c>
      <c r="B17" s="2">
        <v>55000000</v>
      </c>
      <c r="C17" s="2">
        <v>330151138</v>
      </c>
      <c r="D17" s="2">
        <v>349683999</v>
      </c>
      <c r="E17" s="2">
        <f t="shared" si="8"/>
        <v>679835137</v>
      </c>
      <c r="F17" s="1">
        <v>34521</v>
      </c>
      <c r="G17" s="23" t="str">
        <f t="shared" si="12"/>
        <v>Summer</v>
      </c>
      <c r="H17" s="23" t="s">
        <v>43</v>
      </c>
      <c r="I17" s="2">
        <f t="shared" si="13"/>
        <v>624835137</v>
      </c>
      <c r="J17" s="3">
        <f t="shared" si="14"/>
        <v>0.91909803273378032</v>
      </c>
      <c r="K17" s="3">
        <f t="shared" si="15"/>
        <v>0.4856341192614762</v>
      </c>
      <c r="N17" s="3">
        <f t="shared" si="16"/>
        <v>11.360638854545455</v>
      </c>
      <c r="O17" t="s">
        <v>50</v>
      </c>
    </row>
    <row r="18" spans="1:15" x14ac:dyDescent="0.3">
      <c r="A18" t="s">
        <v>51</v>
      </c>
      <c r="B18" s="2">
        <v>20000000</v>
      </c>
      <c r="C18" s="2">
        <v>45055776</v>
      </c>
      <c r="D18" s="2">
        <v>46846662</v>
      </c>
      <c r="E18" s="2">
        <f t="shared" si="8"/>
        <v>91902438</v>
      </c>
      <c r="F18" s="1">
        <v>42314</v>
      </c>
      <c r="G18" s="23" t="str">
        <f t="shared" si="12"/>
        <v>Fall</v>
      </c>
      <c r="H18" s="23" t="s">
        <v>43</v>
      </c>
      <c r="I18" s="2">
        <f t="shared" si="13"/>
        <v>71902438</v>
      </c>
      <c r="J18" s="3">
        <f t="shared" si="14"/>
        <v>0.78237791689487057</v>
      </c>
      <c r="K18" s="3">
        <f t="shared" si="15"/>
        <v>0.4902565914519047</v>
      </c>
      <c r="N18" s="3">
        <f t="shared" si="16"/>
        <v>3.5951219000000001</v>
      </c>
      <c r="O18" t="s">
        <v>52</v>
      </c>
    </row>
    <row r="19" spans="1:15" x14ac:dyDescent="0.3">
      <c r="A19" t="s">
        <v>53</v>
      </c>
      <c r="B19" s="2">
        <v>10000000</v>
      </c>
      <c r="C19" s="2">
        <v>138433435</v>
      </c>
      <c r="D19" s="2">
        <v>87492554</v>
      </c>
      <c r="E19" s="2">
        <f t="shared" si="8"/>
        <v>225925989</v>
      </c>
      <c r="F19" s="1">
        <v>35769</v>
      </c>
      <c r="G19" s="23" t="str">
        <f t="shared" si="12"/>
        <v>Winter</v>
      </c>
      <c r="H19" s="23" t="s">
        <v>43</v>
      </c>
      <c r="I19" s="2">
        <f t="shared" si="13"/>
        <v>215925989</v>
      </c>
      <c r="J19" s="3">
        <f t="shared" si="14"/>
        <v>0.95573771727519141</v>
      </c>
      <c r="K19" s="3">
        <f t="shared" si="15"/>
        <v>0.61273798385364153</v>
      </c>
      <c r="N19" s="3">
        <f t="shared" si="16"/>
        <v>21.592598899999999</v>
      </c>
      <c r="O19" t="s">
        <v>54</v>
      </c>
    </row>
    <row r="20" spans="1:15" x14ac:dyDescent="0.3">
      <c r="A20" t="s">
        <v>55</v>
      </c>
      <c r="B20" s="2">
        <v>151500000</v>
      </c>
      <c r="C20" s="2">
        <v>198539855</v>
      </c>
      <c r="D20" s="2">
        <v>250699998</v>
      </c>
      <c r="E20" s="2">
        <f t="shared" si="8"/>
        <v>449239853</v>
      </c>
      <c r="F20" s="1">
        <v>37036</v>
      </c>
      <c r="G20" s="23" t="str">
        <f t="shared" si="12"/>
        <v>Spring</v>
      </c>
      <c r="H20" s="23" t="s">
        <v>16</v>
      </c>
      <c r="I20" s="2">
        <f t="shared" si="13"/>
        <v>297739853</v>
      </c>
      <c r="J20" s="3">
        <f t="shared" si="14"/>
        <v>0.66276366847622492</v>
      </c>
      <c r="K20" s="3">
        <f t="shared" si="15"/>
        <v>0.44194622020767155</v>
      </c>
      <c r="N20" s="3">
        <f t="shared" si="16"/>
        <v>1.9652795577557756</v>
      </c>
      <c r="O20" t="s">
        <v>56</v>
      </c>
    </row>
    <row r="21" spans="1:15" x14ac:dyDescent="0.3">
      <c r="A21" t="s">
        <v>57</v>
      </c>
      <c r="B21" s="2">
        <v>200000000</v>
      </c>
      <c r="C21" s="2">
        <v>674460013</v>
      </c>
      <c r="D21" s="2">
        <v>1548588773</v>
      </c>
      <c r="E21" s="2">
        <f t="shared" si="8"/>
        <v>2223048786</v>
      </c>
      <c r="F21" s="1">
        <v>35783</v>
      </c>
      <c r="G21" s="23" t="str">
        <f t="shared" si="12"/>
        <v>Winter</v>
      </c>
      <c r="H21" s="23" t="s">
        <v>43</v>
      </c>
      <c r="I21" s="2">
        <f t="shared" si="13"/>
        <v>2023048786</v>
      </c>
      <c r="J21" s="3">
        <f t="shared" si="14"/>
        <v>0.91003346338616975</v>
      </c>
      <c r="K21" s="3">
        <f t="shared" si="15"/>
        <v>0.30339415727064478</v>
      </c>
      <c r="N21" s="3">
        <f t="shared" si="16"/>
        <v>10.11524393</v>
      </c>
      <c r="O21" t="s">
        <v>58</v>
      </c>
    </row>
    <row r="22" spans="1:15" x14ac:dyDescent="0.3">
      <c r="A22" t="s">
        <v>59</v>
      </c>
      <c r="B22" s="2">
        <v>90000000</v>
      </c>
      <c r="C22" s="2">
        <v>72708161</v>
      </c>
      <c r="D22" s="2">
        <v>90045676</v>
      </c>
      <c r="E22" s="2">
        <f t="shared" si="8"/>
        <v>162753837</v>
      </c>
      <c r="F22" s="1">
        <v>38464</v>
      </c>
      <c r="G22" s="23" t="str">
        <f t="shared" si="12"/>
        <v>Spring</v>
      </c>
      <c r="H22" s="23" t="s">
        <v>8</v>
      </c>
      <c r="I22" s="2">
        <f t="shared" si="13"/>
        <v>72753837</v>
      </c>
      <c r="J22" s="3">
        <f t="shared" si="14"/>
        <v>0.44701764542730871</v>
      </c>
      <c r="K22" s="3">
        <f t="shared" si="15"/>
        <v>0.44673700073811468</v>
      </c>
      <c r="N22" s="3">
        <f t="shared" si="16"/>
        <v>0.80837596666666667</v>
      </c>
      <c r="O22" t="s">
        <v>60</v>
      </c>
    </row>
    <row r="23" spans="1:15" x14ac:dyDescent="0.3">
      <c r="A23" t="s">
        <v>61</v>
      </c>
      <c r="B23" s="2">
        <v>85000000</v>
      </c>
      <c r="C23" s="2">
        <v>198000317</v>
      </c>
      <c r="D23" s="2">
        <v>186999998</v>
      </c>
      <c r="E23" s="2">
        <f t="shared" si="8"/>
        <v>385000315</v>
      </c>
      <c r="F23" s="1">
        <v>39038</v>
      </c>
      <c r="G23" s="23" t="str">
        <f t="shared" si="12"/>
        <v>Fall</v>
      </c>
      <c r="H23" s="23" t="s">
        <v>62</v>
      </c>
      <c r="I23" s="2">
        <f t="shared" si="13"/>
        <v>300000315</v>
      </c>
      <c r="J23" s="3">
        <f t="shared" si="14"/>
        <v>0.77922095985817574</v>
      </c>
      <c r="K23" s="3">
        <f t="shared" si="15"/>
        <v>0.51428611688278747</v>
      </c>
      <c r="N23" s="3">
        <f t="shared" si="16"/>
        <v>3.5294154705882352</v>
      </c>
      <c r="O23" t="s">
        <v>63</v>
      </c>
    </row>
    <row r="24" spans="1:15" x14ac:dyDescent="0.3">
      <c r="A24" t="s">
        <v>64</v>
      </c>
      <c r="B24" s="2">
        <v>25000000</v>
      </c>
      <c r="C24" s="2">
        <v>88319668</v>
      </c>
      <c r="D24" s="2">
        <v>131500000</v>
      </c>
      <c r="E24" s="2">
        <f t="shared" si="8"/>
        <v>219819668</v>
      </c>
      <c r="F24" s="1">
        <v>45282</v>
      </c>
      <c r="G24" s="23" t="str">
        <f t="shared" si="12"/>
        <v>Winter</v>
      </c>
      <c r="H24" s="23" t="s">
        <v>40</v>
      </c>
      <c r="I24" s="2">
        <f t="shared" si="13"/>
        <v>194819668</v>
      </c>
      <c r="J24" s="3">
        <f t="shared" si="14"/>
        <v>0.8862704132552871</v>
      </c>
      <c r="K24" s="3">
        <f t="shared" si="15"/>
        <v>0.40178237372280989</v>
      </c>
      <c r="N24" s="3">
        <f t="shared" si="16"/>
        <v>7.7927867199999996</v>
      </c>
      <c r="O24" t="s">
        <v>65</v>
      </c>
    </row>
    <row r="25" spans="1:15" x14ac:dyDescent="0.3">
      <c r="A25" t="s">
        <v>66</v>
      </c>
      <c r="B25" s="2">
        <v>60000000</v>
      </c>
      <c r="C25" s="2">
        <v>210614939</v>
      </c>
      <c r="D25" s="2">
        <v>243546996</v>
      </c>
      <c r="E25" s="2">
        <f t="shared" si="8"/>
        <v>454161935</v>
      </c>
      <c r="F25" s="1">
        <v>39150</v>
      </c>
      <c r="G25" s="23" t="str">
        <f t="shared" si="12"/>
        <v>Spring</v>
      </c>
      <c r="H25" s="23" t="s">
        <v>16</v>
      </c>
      <c r="I25" s="2">
        <f t="shared" si="13"/>
        <v>394161935</v>
      </c>
      <c r="J25" s="3">
        <f t="shared" si="14"/>
        <v>0.86788853187354853</v>
      </c>
      <c r="K25" s="3">
        <f t="shared" si="15"/>
        <v>0.46374414667755015</v>
      </c>
      <c r="N25" s="3">
        <f t="shared" si="16"/>
        <v>6.5693655833333331</v>
      </c>
      <c r="O25" t="s">
        <v>67</v>
      </c>
    </row>
    <row r="26" spans="1:15" x14ac:dyDescent="0.3">
      <c r="A26" t="s">
        <v>68</v>
      </c>
      <c r="B26" s="2">
        <v>237000000</v>
      </c>
      <c r="C26" s="2">
        <v>785221649</v>
      </c>
      <c r="D26" s="2">
        <v>2138484377</v>
      </c>
      <c r="E26" s="2">
        <f t="shared" si="8"/>
        <v>2923706026</v>
      </c>
      <c r="F26" s="1">
        <v>40165</v>
      </c>
      <c r="G26" s="23" t="str">
        <f>IF(OR(MONTH(F26)=12, MONTH(F26)&lt;=2),"Winter", IF(MONTH(F26)&lt;=5,"Spring", IF(MONTH(F26)&lt;=8,"Summer","Fall")))</f>
        <v>Winter</v>
      </c>
      <c r="H26" s="23" t="s">
        <v>16</v>
      </c>
      <c r="I26" s="2">
        <f t="shared" si="13"/>
        <v>2686706026</v>
      </c>
      <c r="J26" s="3">
        <f t="shared" si="14"/>
        <v>0.9189384986409711</v>
      </c>
      <c r="K26" s="3">
        <f t="shared" si="15"/>
        <v>0.26857065724705664</v>
      </c>
      <c r="N26" s="3">
        <f t="shared" si="16"/>
        <v>11.336312345991562</v>
      </c>
      <c r="O26" t="s">
        <v>69</v>
      </c>
    </row>
    <row r="27" spans="1:15" x14ac:dyDescent="0.3">
      <c r="A27" t="s">
        <v>70</v>
      </c>
      <c r="B27" s="2">
        <v>20000000</v>
      </c>
      <c r="C27" s="2">
        <v>137400141</v>
      </c>
      <c r="D27" s="2">
        <v>178743508</v>
      </c>
      <c r="E27" s="2">
        <f t="shared" si="8"/>
        <v>316143649</v>
      </c>
      <c r="F27" s="1">
        <v>41474</v>
      </c>
      <c r="G27" s="23" t="str">
        <f t="shared" si="12"/>
        <v>Summer</v>
      </c>
      <c r="H27" s="23" t="s">
        <v>71</v>
      </c>
      <c r="I27" s="2">
        <f t="shared" si="13"/>
        <v>296143649</v>
      </c>
      <c r="J27" s="3">
        <f t="shared" si="14"/>
        <v>0.93673761891702589</v>
      </c>
      <c r="K27" s="3">
        <f t="shared" si="15"/>
        <v>0.43461300403981862</v>
      </c>
      <c r="N27" s="3">
        <f t="shared" si="16"/>
        <v>14.807182450000001</v>
      </c>
      <c r="O27" t="s">
        <v>80</v>
      </c>
    </row>
    <row r="28" spans="1:15" x14ac:dyDescent="0.3">
      <c r="A28" t="s">
        <v>72</v>
      </c>
      <c r="B28" s="2">
        <v>10000000</v>
      </c>
      <c r="C28" s="2">
        <v>35819556</v>
      </c>
      <c r="D28" s="2">
        <v>38109836</v>
      </c>
      <c r="E28" s="2">
        <f t="shared" si="8"/>
        <v>73929392</v>
      </c>
      <c r="F28" s="1">
        <v>42391</v>
      </c>
      <c r="G28" s="23" t="str">
        <f t="shared" si="12"/>
        <v>Winter</v>
      </c>
      <c r="H28" s="23" t="s">
        <v>71</v>
      </c>
      <c r="I28" s="2">
        <f t="shared" si="13"/>
        <v>63929392</v>
      </c>
      <c r="J28" s="3">
        <f t="shared" si="14"/>
        <v>0.86473580088417334</v>
      </c>
      <c r="K28" s="3">
        <f t="shared" si="15"/>
        <v>0.48451035550245025</v>
      </c>
      <c r="N28" s="3">
        <f t="shared" si="16"/>
        <v>6.3929391999999998</v>
      </c>
      <c r="O28" t="s">
        <v>79</v>
      </c>
    </row>
    <row r="29" spans="1:15" x14ac:dyDescent="0.3">
      <c r="A29" t="s">
        <v>73</v>
      </c>
      <c r="B29" s="2">
        <v>1500000</v>
      </c>
      <c r="C29" s="2">
        <v>54009150</v>
      </c>
      <c r="D29" s="2">
        <v>45861736</v>
      </c>
      <c r="E29" s="2">
        <f t="shared" si="8"/>
        <v>99870886</v>
      </c>
      <c r="F29" s="1">
        <v>40634</v>
      </c>
      <c r="G29" s="23" t="str">
        <f t="shared" si="12"/>
        <v>Spring</v>
      </c>
      <c r="H29" s="23" t="s">
        <v>71</v>
      </c>
      <c r="I29" s="2">
        <f t="shared" si="13"/>
        <v>98370886</v>
      </c>
      <c r="J29" s="3">
        <f t="shared" si="14"/>
        <v>0.98498060786203501</v>
      </c>
      <c r="K29" s="3">
        <f t="shared" si="15"/>
        <v>0.54078973525878204</v>
      </c>
      <c r="N29" s="3">
        <f t="shared" si="16"/>
        <v>65.580590666666666</v>
      </c>
      <c r="O29" t="s">
        <v>78</v>
      </c>
    </row>
    <row r="30" spans="1:15" x14ac:dyDescent="0.3">
      <c r="A30" t="s">
        <v>74</v>
      </c>
      <c r="B30" s="2">
        <v>22000000</v>
      </c>
      <c r="C30" s="2">
        <v>117450119</v>
      </c>
      <c r="D30" s="2">
        <v>248600000</v>
      </c>
      <c r="E30" s="2">
        <f t="shared" si="8"/>
        <v>366050119</v>
      </c>
      <c r="F30" s="1">
        <v>43350</v>
      </c>
      <c r="G30" s="23" t="str">
        <f t="shared" si="12"/>
        <v>Fall</v>
      </c>
      <c r="H30" s="23" t="s">
        <v>71</v>
      </c>
      <c r="I30" s="2">
        <f t="shared" si="13"/>
        <v>344050119</v>
      </c>
      <c r="J30" s="3">
        <f t="shared" si="14"/>
        <v>0.93989894045082933</v>
      </c>
      <c r="K30" s="3">
        <f t="shared" si="15"/>
        <v>0.32085802709437172</v>
      </c>
      <c r="N30" s="3">
        <f t="shared" si="16"/>
        <v>15.638641772727272</v>
      </c>
      <c r="O30" t="s">
        <v>77</v>
      </c>
    </row>
    <row r="31" spans="1:15" x14ac:dyDescent="0.3">
      <c r="A31" t="s">
        <v>75</v>
      </c>
      <c r="B31" s="2">
        <v>20000000</v>
      </c>
      <c r="C31" s="2">
        <v>117229692</v>
      </c>
      <c r="D31" s="2">
        <v>54241829</v>
      </c>
      <c r="E31" s="2">
        <f t="shared" si="8"/>
        <v>171471521</v>
      </c>
      <c r="F31" s="1">
        <v>40466</v>
      </c>
      <c r="G31" s="23" t="str">
        <f t="shared" si="12"/>
        <v>Fall</v>
      </c>
      <c r="H31" s="23" t="s">
        <v>40</v>
      </c>
      <c r="I31" s="2">
        <f t="shared" si="13"/>
        <v>151471521</v>
      </c>
      <c r="J31" s="3">
        <f t="shared" si="14"/>
        <v>0.88336255558146004</v>
      </c>
      <c r="K31" s="3">
        <f t="shared" si="15"/>
        <v>0.68366858424262766</v>
      </c>
      <c r="N31" s="3">
        <f t="shared" si="16"/>
        <v>7.5735760499999998</v>
      </c>
      <c r="O31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B843-082A-408A-9F5E-8DA7025FB2BA}">
  <dimension ref="A1:B21"/>
  <sheetViews>
    <sheetView workbookViewId="0">
      <selection activeCell="D21" sqref="D21"/>
    </sheetView>
  </sheetViews>
  <sheetFormatPr defaultRowHeight="15.6" x14ac:dyDescent="0.3"/>
  <cols>
    <col min="1" max="1" width="17.19921875" customWidth="1"/>
    <col min="2" max="2" width="15.796875" customWidth="1"/>
  </cols>
  <sheetData>
    <row r="1" spans="1:2" x14ac:dyDescent="0.3">
      <c r="A1" s="9" t="s">
        <v>7</v>
      </c>
      <c r="B1" s="10" t="s">
        <v>81</v>
      </c>
    </row>
    <row r="2" spans="1:2" x14ac:dyDescent="0.3">
      <c r="A2" s="8" t="s">
        <v>16</v>
      </c>
      <c r="B2" s="12">
        <v>5.2215427380603341</v>
      </c>
    </row>
    <row r="3" spans="1:2" x14ac:dyDescent="0.3">
      <c r="A3" s="8" t="s">
        <v>10</v>
      </c>
      <c r="B3" s="12">
        <v>4.5405113616161614</v>
      </c>
    </row>
    <row r="4" spans="1:2" x14ac:dyDescent="0.3">
      <c r="A4" s="8" t="s">
        <v>40</v>
      </c>
      <c r="B4" s="12">
        <v>16.660775259449153</v>
      </c>
    </row>
    <row r="5" spans="1:2" x14ac:dyDescent="0.3">
      <c r="A5" s="8" t="s">
        <v>43</v>
      </c>
      <c r="B5" s="12">
        <v>16.847217688337665</v>
      </c>
    </row>
    <row r="6" spans="1:2" x14ac:dyDescent="0.3">
      <c r="A6" s="8" t="s">
        <v>71</v>
      </c>
      <c r="B6" s="12">
        <v>25.604838522348484</v>
      </c>
    </row>
    <row r="7" spans="1:2" x14ac:dyDescent="0.3">
      <c r="A7" s="8" t="s">
        <v>62</v>
      </c>
      <c r="B7" s="12">
        <v>3.5294154705882352</v>
      </c>
    </row>
    <row r="8" spans="1:2" x14ac:dyDescent="0.3">
      <c r="A8" s="11" t="s">
        <v>8</v>
      </c>
      <c r="B8" s="13">
        <v>1.5543336116666666</v>
      </c>
    </row>
    <row r="21" spans="1:1" x14ac:dyDescent="0.3">
      <c r="A21" t="s">
        <v>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04591-FD7A-41D3-BE0D-3151991B6EAC}">
  <dimension ref="A1:C21"/>
  <sheetViews>
    <sheetView zoomScaleNormal="100" workbookViewId="0">
      <selection activeCell="B23" sqref="B23"/>
    </sheetView>
  </sheetViews>
  <sheetFormatPr defaultRowHeight="15.6" x14ac:dyDescent="0.3"/>
  <cols>
    <col min="1" max="1" width="12.19921875" customWidth="1"/>
    <col min="2" max="2" width="23.3984375" customWidth="1"/>
    <col min="3" max="3" width="18.8984375" customWidth="1"/>
  </cols>
  <sheetData>
    <row r="1" spans="1:3" x14ac:dyDescent="0.3">
      <c r="A1" t="s">
        <v>7</v>
      </c>
      <c r="B1" t="s">
        <v>83</v>
      </c>
      <c r="C1" t="s">
        <v>84</v>
      </c>
    </row>
    <row r="2" spans="1:3" x14ac:dyDescent="0.3">
      <c r="A2" t="s">
        <v>16</v>
      </c>
      <c r="B2" s="14">
        <v>2836555458</v>
      </c>
      <c r="C2" s="14">
        <v>5952456439</v>
      </c>
    </row>
    <row r="3" spans="1:3" x14ac:dyDescent="0.3">
      <c r="A3" t="s">
        <v>10</v>
      </c>
      <c r="B3" s="14">
        <v>984028955</v>
      </c>
      <c r="C3" s="14">
        <v>1610220486</v>
      </c>
    </row>
    <row r="4" spans="1:3" x14ac:dyDescent="0.3">
      <c r="A4" t="s">
        <v>40</v>
      </c>
      <c r="B4" s="14">
        <v>545178500</v>
      </c>
      <c r="C4" s="14">
        <v>576469686</v>
      </c>
    </row>
    <row r="5" spans="1:3" x14ac:dyDescent="0.3">
      <c r="A5" t="s">
        <v>43</v>
      </c>
      <c r="B5" s="14">
        <v>1324580356</v>
      </c>
      <c r="C5" s="14">
        <v>2166139388</v>
      </c>
    </row>
    <row r="6" spans="1:3" x14ac:dyDescent="0.3">
      <c r="A6" t="s">
        <v>71</v>
      </c>
      <c r="B6" s="14">
        <v>344678966</v>
      </c>
      <c r="C6" s="14">
        <v>511315080</v>
      </c>
    </row>
    <row r="7" spans="1:3" x14ac:dyDescent="0.3">
      <c r="A7" t="s">
        <v>62</v>
      </c>
      <c r="B7" s="14">
        <v>198000317</v>
      </c>
      <c r="C7" s="14">
        <v>186999998</v>
      </c>
    </row>
    <row r="8" spans="1:3" x14ac:dyDescent="0.3">
      <c r="A8" t="s">
        <v>8</v>
      </c>
      <c r="B8" s="14">
        <v>362463526</v>
      </c>
      <c r="C8" s="14">
        <v>521336891</v>
      </c>
    </row>
    <row r="9" spans="1:3" ht="16.2" thickBot="1" x14ac:dyDescent="0.35">
      <c r="A9" s="15" t="s">
        <v>82</v>
      </c>
      <c r="B9" s="16">
        <v>6595486078</v>
      </c>
      <c r="C9" s="16">
        <v>11524937968</v>
      </c>
    </row>
    <row r="10" spans="1:3" ht="16.2" thickTop="1" x14ac:dyDescent="0.3"/>
    <row r="21" spans="1:1" x14ac:dyDescent="0.3">
      <c r="A21" t="s">
        <v>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CB7F9-E5BD-441C-8F1F-1127AD5A508C}">
  <dimension ref="A1:D33"/>
  <sheetViews>
    <sheetView topLeftCell="A22" workbookViewId="0">
      <selection activeCell="C37" sqref="C37"/>
    </sheetView>
  </sheetViews>
  <sheetFormatPr defaultRowHeight="15.6" x14ac:dyDescent="0.3"/>
  <cols>
    <col min="1" max="1" width="36.8984375" bestFit="1" customWidth="1"/>
    <col min="2" max="2" width="19.69921875" style="2" customWidth="1"/>
    <col min="3" max="3" width="16.3984375" style="2" customWidth="1"/>
    <col min="4" max="4" width="28.3984375" style="17" customWidth="1"/>
  </cols>
  <sheetData>
    <row r="1" spans="1:4" x14ac:dyDescent="0.3">
      <c r="A1" s="4" t="s">
        <v>0</v>
      </c>
      <c r="B1" s="5" t="s">
        <v>2</v>
      </c>
      <c r="C1" s="5" t="s">
        <v>15</v>
      </c>
      <c r="D1" s="19" t="s">
        <v>85</v>
      </c>
    </row>
    <row r="2" spans="1:4" x14ac:dyDescent="0.3">
      <c r="A2" t="s">
        <v>21</v>
      </c>
      <c r="B2" s="2">
        <v>226164286</v>
      </c>
      <c r="C2" s="2">
        <v>347425832</v>
      </c>
      <c r="D2" s="18">
        <f>B2/C2</f>
        <v>0.6509714165410706</v>
      </c>
    </row>
    <row r="3" spans="1:4" x14ac:dyDescent="0.3">
      <c r="A3" t="s">
        <v>20</v>
      </c>
      <c r="B3" s="2">
        <v>220159104</v>
      </c>
      <c r="C3" s="2">
        <v>786269620</v>
      </c>
      <c r="D3" s="18">
        <f t="shared" ref="D3:D31" si="0">B3/C3</f>
        <v>0.28000459180910486</v>
      </c>
    </row>
    <row r="4" spans="1:4" x14ac:dyDescent="0.3">
      <c r="A4" t="s">
        <v>19</v>
      </c>
      <c r="B4" s="2">
        <v>160891007</v>
      </c>
      <c r="C4" s="2">
        <v>758929771</v>
      </c>
      <c r="D4" s="18">
        <f t="shared" si="0"/>
        <v>0.21199722707939467</v>
      </c>
    </row>
    <row r="5" spans="1:4" x14ac:dyDescent="0.3">
      <c r="A5" t="s">
        <v>23</v>
      </c>
      <c r="B5" s="2">
        <v>73103784</v>
      </c>
      <c r="C5" s="2">
        <v>205440387</v>
      </c>
      <c r="D5" s="18">
        <f t="shared" si="0"/>
        <v>0.3558393997768316</v>
      </c>
    </row>
    <row r="6" spans="1:4" x14ac:dyDescent="0.3">
      <c r="A6" t="s">
        <v>24</v>
      </c>
      <c r="B6" s="2">
        <v>98927592</v>
      </c>
      <c r="C6" s="2">
        <v>172836993</v>
      </c>
      <c r="D6" s="18">
        <f t="shared" si="0"/>
        <v>0.57237510490592713</v>
      </c>
    </row>
    <row r="7" spans="1:4" x14ac:dyDescent="0.3">
      <c r="A7" t="s">
        <v>25</v>
      </c>
      <c r="B7" s="2">
        <v>293108509</v>
      </c>
      <c r="C7" s="2">
        <v>937444235</v>
      </c>
      <c r="D7" s="18">
        <f t="shared" si="0"/>
        <v>0.31266767457373079</v>
      </c>
    </row>
    <row r="8" spans="1:4" x14ac:dyDescent="0.3">
      <c r="A8" t="s">
        <v>29</v>
      </c>
      <c r="B8" s="2">
        <v>68559554</v>
      </c>
      <c r="C8" s="2">
        <v>200859554</v>
      </c>
      <c r="D8" s="18">
        <f t="shared" si="0"/>
        <v>0.34133080869033494</v>
      </c>
    </row>
    <row r="9" spans="1:4" x14ac:dyDescent="0.3">
      <c r="A9" t="s">
        <v>31</v>
      </c>
      <c r="B9" s="2">
        <v>217851976</v>
      </c>
      <c r="C9" s="2">
        <v>494312845</v>
      </c>
      <c r="D9" s="18">
        <f t="shared" si="0"/>
        <v>0.44071680152272796</v>
      </c>
    </row>
    <row r="10" spans="1:4" x14ac:dyDescent="0.3">
      <c r="A10" t="s">
        <v>33</v>
      </c>
      <c r="B10" s="2">
        <v>858373000</v>
      </c>
      <c r="C10" s="2">
        <v>2717503922</v>
      </c>
      <c r="D10" s="18">
        <f t="shared" si="0"/>
        <v>0.31586817338179357</v>
      </c>
    </row>
    <row r="11" spans="1:4" x14ac:dyDescent="0.3">
      <c r="A11" t="s">
        <v>35</v>
      </c>
      <c r="B11" s="2">
        <v>53867897</v>
      </c>
      <c r="C11" s="2">
        <v>253678159</v>
      </c>
      <c r="D11" s="18">
        <f t="shared" si="0"/>
        <v>0.21234739802727753</v>
      </c>
    </row>
    <row r="12" spans="1:4" x14ac:dyDescent="0.3">
      <c r="A12" t="s">
        <v>37</v>
      </c>
      <c r="B12" s="2">
        <v>176591618</v>
      </c>
      <c r="C12" s="2">
        <v>351774938</v>
      </c>
      <c r="D12" s="18">
        <f t="shared" si="0"/>
        <v>0.50200170314577663</v>
      </c>
    </row>
    <row r="13" spans="1:4" x14ac:dyDescent="0.3">
      <c r="A13" t="s">
        <v>39</v>
      </c>
      <c r="B13" s="2">
        <v>285761243</v>
      </c>
      <c r="C13" s="2">
        <v>476678838</v>
      </c>
      <c r="D13" s="18">
        <f t="shared" si="0"/>
        <v>0.59948380381006128</v>
      </c>
    </row>
    <row r="14" spans="1:4" x14ac:dyDescent="0.3">
      <c r="A14" t="s">
        <v>42</v>
      </c>
      <c r="B14" s="2">
        <v>136479994</v>
      </c>
      <c r="C14" s="2">
        <v>270007394</v>
      </c>
      <c r="D14" s="18">
        <f t="shared" si="0"/>
        <v>0.50546761693496434</v>
      </c>
    </row>
    <row r="15" spans="1:4" x14ac:dyDescent="0.3">
      <c r="A15" t="s">
        <v>45</v>
      </c>
      <c r="B15" s="2">
        <v>404508916</v>
      </c>
      <c r="C15" s="2">
        <v>961632807</v>
      </c>
      <c r="D15" s="18">
        <f t="shared" si="0"/>
        <v>0.42064799896120847</v>
      </c>
    </row>
    <row r="16" spans="1:4" x14ac:dyDescent="0.3">
      <c r="A16" t="s">
        <v>47</v>
      </c>
      <c r="B16" s="2">
        <v>117723989</v>
      </c>
      <c r="C16" s="2">
        <v>342769200</v>
      </c>
      <c r="D16" s="18">
        <f t="shared" si="0"/>
        <v>0.34344972943893443</v>
      </c>
    </row>
    <row r="17" spans="1:4" x14ac:dyDescent="0.3">
      <c r="A17" t="s">
        <v>49</v>
      </c>
      <c r="B17" s="2">
        <v>330151138</v>
      </c>
      <c r="C17" s="2">
        <v>679835137</v>
      </c>
      <c r="D17" s="18">
        <f t="shared" si="0"/>
        <v>0.4856341192614762</v>
      </c>
    </row>
    <row r="18" spans="1:4" x14ac:dyDescent="0.3">
      <c r="A18" t="s">
        <v>51</v>
      </c>
      <c r="B18" s="2">
        <v>45055776</v>
      </c>
      <c r="C18" s="2">
        <v>91902438</v>
      </c>
      <c r="D18" s="18">
        <f t="shared" si="0"/>
        <v>0.4902565914519047</v>
      </c>
    </row>
    <row r="19" spans="1:4" x14ac:dyDescent="0.3">
      <c r="A19" t="s">
        <v>53</v>
      </c>
      <c r="B19" s="2">
        <v>138433435</v>
      </c>
      <c r="C19" s="2">
        <v>225925989</v>
      </c>
      <c r="D19" s="18">
        <f t="shared" si="0"/>
        <v>0.61273798385364153</v>
      </c>
    </row>
    <row r="20" spans="1:4" x14ac:dyDescent="0.3">
      <c r="A20" t="s">
        <v>55</v>
      </c>
      <c r="B20" s="2">
        <v>198539855</v>
      </c>
      <c r="C20" s="2">
        <v>449239853</v>
      </c>
      <c r="D20" s="18">
        <f t="shared" si="0"/>
        <v>0.44194622020767155</v>
      </c>
    </row>
    <row r="21" spans="1:4" x14ac:dyDescent="0.3">
      <c r="A21" t="s">
        <v>57</v>
      </c>
      <c r="B21" s="2">
        <v>674460013</v>
      </c>
      <c r="C21" s="2">
        <v>2223048786</v>
      </c>
      <c r="D21" s="18">
        <f t="shared" si="0"/>
        <v>0.30339415727064478</v>
      </c>
    </row>
    <row r="22" spans="1:4" x14ac:dyDescent="0.3">
      <c r="A22" t="s">
        <v>59</v>
      </c>
      <c r="B22" s="2">
        <v>72708161</v>
      </c>
      <c r="C22" s="2">
        <v>162753837</v>
      </c>
      <c r="D22" s="18">
        <f t="shared" si="0"/>
        <v>0.44673700073811468</v>
      </c>
    </row>
    <row r="23" spans="1:4" x14ac:dyDescent="0.3">
      <c r="A23" t="s">
        <v>61</v>
      </c>
      <c r="B23" s="2">
        <v>198000317</v>
      </c>
      <c r="C23" s="2">
        <v>385000315</v>
      </c>
      <c r="D23" s="18">
        <f t="shared" si="0"/>
        <v>0.51428611688278747</v>
      </c>
    </row>
    <row r="24" spans="1:4" x14ac:dyDescent="0.3">
      <c r="A24" t="s">
        <v>64</v>
      </c>
      <c r="B24" s="2">
        <v>88319668</v>
      </c>
      <c r="C24" s="2">
        <v>219819668</v>
      </c>
      <c r="D24" s="18">
        <f t="shared" si="0"/>
        <v>0.40178237372280989</v>
      </c>
    </row>
    <row r="25" spans="1:4" x14ac:dyDescent="0.3">
      <c r="A25" t="s">
        <v>66</v>
      </c>
      <c r="B25" s="2">
        <v>210614939</v>
      </c>
      <c r="C25" s="2">
        <v>454161935</v>
      </c>
      <c r="D25" s="18">
        <f t="shared" si="0"/>
        <v>0.46374414667755015</v>
      </c>
    </row>
    <row r="26" spans="1:4" x14ac:dyDescent="0.3">
      <c r="A26" t="s">
        <v>68</v>
      </c>
      <c r="B26" s="2">
        <v>785221649</v>
      </c>
      <c r="C26" s="2">
        <v>2923706026</v>
      </c>
      <c r="D26" s="18">
        <f t="shared" si="0"/>
        <v>0.26857065724705664</v>
      </c>
    </row>
    <row r="27" spans="1:4" x14ac:dyDescent="0.3">
      <c r="A27" t="s">
        <v>70</v>
      </c>
      <c r="B27" s="2">
        <v>137400141</v>
      </c>
      <c r="C27" s="2">
        <v>316143649</v>
      </c>
      <c r="D27" s="18">
        <f t="shared" si="0"/>
        <v>0.43461300403981862</v>
      </c>
    </row>
    <row r="28" spans="1:4" x14ac:dyDescent="0.3">
      <c r="A28" t="s">
        <v>72</v>
      </c>
      <c r="B28" s="2">
        <v>35819556</v>
      </c>
      <c r="C28" s="2">
        <v>73929392</v>
      </c>
      <c r="D28" s="18">
        <f t="shared" si="0"/>
        <v>0.48451035550245025</v>
      </c>
    </row>
    <row r="29" spans="1:4" x14ac:dyDescent="0.3">
      <c r="A29" t="s">
        <v>73</v>
      </c>
      <c r="B29" s="2">
        <v>54009150</v>
      </c>
      <c r="C29" s="2">
        <v>99870886</v>
      </c>
      <c r="D29" s="18">
        <f t="shared" si="0"/>
        <v>0.54078973525878204</v>
      </c>
    </row>
    <row r="30" spans="1:4" x14ac:dyDescent="0.3">
      <c r="A30" t="s">
        <v>74</v>
      </c>
      <c r="B30" s="2">
        <v>117450119</v>
      </c>
      <c r="C30" s="2">
        <v>366050119</v>
      </c>
      <c r="D30" s="18">
        <f t="shared" si="0"/>
        <v>0.32085802709437172</v>
      </c>
    </row>
    <row r="31" spans="1:4" x14ac:dyDescent="0.3">
      <c r="A31" t="s">
        <v>75</v>
      </c>
      <c r="B31" s="2">
        <v>117229692</v>
      </c>
      <c r="C31" s="2">
        <v>171471521</v>
      </c>
      <c r="D31" s="18">
        <f t="shared" si="0"/>
        <v>0.68366858424262766</v>
      </c>
    </row>
    <row r="33" spans="1:1" x14ac:dyDescent="0.3">
      <c r="A33" t="s">
        <v>92</v>
      </c>
    </row>
  </sheetData>
  <conditionalFormatting sqref="D2:D31">
    <cfRule type="cellIs" dxfId="0" priority="1" operator="greaterThan">
      <formula>0.5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77ECC-7CAC-4220-AF96-A2827862B017}">
  <dimension ref="B36"/>
  <sheetViews>
    <sheetView topLeftCell="A10" zoomScale="70" zoomScaleNormal="70" workbookViewId="0">
      <selection activeCell="B37" sqref="B37"/>
    </sheetView>
  </sheetViews>
  <sheetFormatPr defaultRowHeight="15.6" x14ac:dyDescent="0.3"/>
  <sheetData>
    <row r="36" spans="2:2" ht="22.8" x14ac:dyDescent="0.4">
      <c r="B36" s="24" t="s">
        <v>93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3F7D-DED0-492C-9D67-1F7DC61030DB}">
  <dimension ref="A2:H21"/>
  <sheetViews>
    <sheetView tabSelected="1" workbookViewId="0">
      <selection activeCell="P15" sqref="P15"/>
    </sheetView>
  </sheetViews>
  <sheetFormatPr defaultRowHeight="15.6" x14ac:dyDescent="0.3"/>
  <cols>
    <col min="1" max="1" width="17.69921875" customWidth="1"/>
    <col min="2" max="2" width="24.19921875" customWidth="1"/>
  </cols>
  <sheetData>
    <row r="2" spans="1:2" x14ac:dyDescent="0.3">
      <c r="A2" t="s">
        <v>7</v>
      </c>
      <c r="B2" t="s">
        <v>86</v>
      </c>
    </row>
    <row r="3" spans="1:2" x14ac:dyDescent="0.3">
      <c r="A3" t="s">
        <v>16</v>
      </c>
      <c r="B3" s="20">
        <v>0.79673036814587495</v>
      </c>
    </row>
    <row r="4" spans="1:2" x14ac:dyDescent="0.3">
      <c r="A4" t="s">
        <v>10</v>
      </c>
      <c r="B4" s="20">
        <v>0.74113216956082817</v>
      </c>
    </row>
    <row r="5" spans="1:2" x14ac:dyDescent="0.3">
      <c r="A5" t="s">
        <v>40</v>
      </c>
      <c r="B5" s="20">
        <v>0.92291240211045522</v>
      </c>
    </row>
    <row r="6" spans="1:2" x14ac:dyDescent="0.3">
      <c r="A6" t="s">
        <v>43</v>
      </c>
      <c r="B6" s="20">
        <v>0.90826438286618516</v>
      </c>
    </row>
    <row r="7" spans="1:2" x14ac:dyDescent="0.3">
      <c r="A7" t="s">
        <v>71</v>
      </c>
      <c r="B7" s="20">
        <v>0.93158824202851598</v>
      </c>
    </row>
    <row r="8" spans="1:2" x14ac:dyDescent="0.3">
      <c r="A8" t="s">
        <v>62</v>
      </c>
      <c r="B8" s="20">
        <v>0.77922095985817574</v>
      </c>
    </row>
    <row r="9" spans="1:2" x14ac:dyDescent="0.3">
      <c r="A9" t="s">
        <v>8</v>
      </c>
      <c r="B9" s="20">
        <v>0.52326670529001518</v>
      </c>
    </row>
    <row r="20" spans="1:8" x14ac:dyDescent="0.3">
      <c r="A20" t="s">
        <v>91</v>
      </c>
    </row>
    <row r="21" spans="1:8" x14ac:dyDescent="0.3">
      <c r="H21" t="s">
        <v>88</v>
      </c>
    </row>
  </sheetData>
  <pageMargins left="0.7" right="0.7" top="0.75" bottom="0.75" header="0.3" footer="0.3"/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ROI_Genre</vt:lpstr>
      <vt:lpstr>Dom_Int</vt:lpstr>
      <vt:lpstr>Percentage Dom</vt:lpstr>
      <vt:lpstr>Budget_Revenue</vt:lpstr>
      <vt:lpstr>AVG ProfitMargin_Genre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Lyles</dc:creator>
  <cp:lastModifiedBy>Tran Vu</cp:lastModifiedBy>
  <dcterms:created xsi:type="dcterms:W3CDTF">2025-02-05T20:40:46Z</dcterms:created>
  <dcterms:modified xsi:type="dcterms:W3CDTF">2026-06-26T19:47:44Z</dcterms:modified>
</cp:coreProperties>
</file>